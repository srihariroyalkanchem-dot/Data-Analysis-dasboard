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70399FB2-BF87-48F7-97A3-AAE0039A7A8C}" xr6:coauthVersionLast="36" xr6:coauthVersionMax="36" xr10:uidLastSave="{00000000-0000-0000-0000-000000000000}"/>
  <bookViews>
    <workbookView xWindow="0" yWindow="0" windowWidth="20490" windowHeight="6630" activeTab="1" xr2:uid="{8881B4A9-6642-4364-8F4D-8EA347D0DDAD}"/>
  </bookViews>
  <sheets>
    <sheet name="Sheet1" sheetId="1" r:id="rId1"/>
    <sheet name="Sheet2" sheetId="2" r:id="rId2"/>
  </sheets>
  <definedNames>
    <definedName name="Slicer_Age">#N/A</definedName>
    <definedName name="Slicer_Age_Bucket">#N/A</definedName>
    <definedName name="Slicer_Cars">#N/A</definedName>
    <definedName name="Slicer_Commute_Distance">#N/A</definedName>
    <definedName name="Slicer_Gender">#N/A</definedName>
    <definedName name="Slicer_ID">#N/A</definedName>
    <definedName name="Slicer_Income">#N/A</definedName>
    <definedName name="Slicer_Name">#N/A</definedName>
    <definedName name="Slicer_Purchased_Bike">#N/A</definedName>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50" i="1" l="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alcChain>
</file>

<file path=xl/sharedStrings.xml><?xml version="1.0" encoding="utf-8"?>
<sst xmlns="http://schemas.openxmlformats.org/spreadsheetml/2006/main" count="520" uniqueCount="94">
  <si>
    <t>ID</t>
  </si>
  <si>
    <t>Marital Status</t>
  </si>
  <si>
    <t>Gender</t>
  </si>
  <si>
    <t>Income</t>
  </si>
  <si>
    <t>Children</t>
  </si>
  <si>
    <t>Education</t>
  </si>
  <si>
    <t>Occupation</t>
  </si>
  <si>
    <t>Home Owner</t>
  </si>
  <si>
    <t>Cars</t>
  </si>
  <si>
    <t>Commute Distance</t>
  </si>
  <si>
    <t>Region</t>
  </si>
  <si>
    <t>Age</t>
  </si>
  <si>
    <t>Age Bucket</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</si>
  <si>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</si>
  <si>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</si>
  <si>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</si>
  <si>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</si>
  <si>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</si>
  <si>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</si>
  <si>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</si>
  <si>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</si>
  <si>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</si>
  <si>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</si>
  <si>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</si>
  <si>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</si>
  <si>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</si>
  <si>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</si>
  <si>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</si>
  <si>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</si>
  <si>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</si>
  <si>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</si>
  <si>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</si>
  <si>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</si>
  <si>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</si>
  <si>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</si>
  <si>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More Than 10 Miles</t>
  </si>
  <si>
    <t>Graduate Degree</t>
  </si>
  <si>
    <t>Row Labels</t>
  </si>
  <si>
    <t>Grand Total</t>
  </si>
  <si>
    <t>Sum of Income</t>
  </si>
  <si>
    <t>Sum of Children</t>
  </si>
  <si>
    <t>Name</t>
  </si>
  <si>
    <t>Onamika Paul</t>
  </si>
  <si>
    <t>Sum of Age</t>
  </si>
  <si>
    <t xml:space="preserve">suyash </t>
  </si>
  <si>
    <t>ayush</t>
  </si>
  <si>
    <t xml:space="preserve">Vihaan </t>
  </si>
  <si>
    <t xml:space="preserve">Aditya </t>
  </si>
  <si>
    <t xml:space="preserve">Arjun </t>
  </si>
  <si>
    <t xml:space="preserve">Sai </t>
  </si>
  <si>
    <t>Rohan</t>
  </si>
  <si>
    <t xml:space="preserve">Karan </t>
  </si>
  <si>
    <t xml:space="preserve">Rahul </t>
  </si>
  <si>
    <t xml:space="preserve">Ankit </t>
  </si>
  <si>
    <t>Manish</t>
  </si>
  <si>
    <t xml:space="preserve">Vikram </t>
  </si>
  <si>
    <t xml:space="preserve">Deepak </t>
  </si>
  <si>
    <t xml:space="preserve">Nikhil </t>
  </si>
  <si>
    <t>Sachin</t>
  </si>
  <si>
    <t xml:space="preserve">Amit </t>
  </si>
  <si>
    <t>Varun</t>
  </si>
  <si>
    <t>Rajesh</t>
  </si>
  <si>
    <t xml:space="preserve">Harsh </t>
  </si>
  <si>
    <t>Siddharth</t>
  </si>
  <si>
    <t xml:space="preserve">Akash </t>
  </si>
  <si>
    <t xml:space="preserve">Neha </t>
  </si>
  <si>
    <t xml:space="preserve">Priya </t>
  </si>
  <si>
    <t>Ananya</t>
  </si>
  <si>
    <t>Divya</t>
  </si>
  <si>
    <t xml:space="preserve">Pooja </t>
  </si>
  <si>
    <t xml:space="preserve">Swati </t>
  </si>
  <si>
    <t xml:space="preserve">Ritu </t>
  </si>
  <si>
    <t xml:space="preserve">Megha </t>
  </si>
  <si>
    <t xml:space="preserve">Shreya </t>
  </si>
  <si>
    <t xml:space="preserve">Kavya </t>
  </si>
  <si>
    <t>Aishwarya</t>
  </si>
  <si>
    <t>Sneha</t>
  </si>
  <si>
    <t xml:space="preserve">Tanvi </t>
  </si>
  <si>
    <t>Nidh</t>
  </si>
  <si>
    <t xml:space="preserve">Payal </t>
  </si>
  <si>
    <t xml:space="preserve">Komal </t>
  </si>
  <si>
    <t xml:space="preserve">Simran </t>
  </si>
  <si>
    <t xml:space="preserve">Preeti </t>
  </si>
  <si>
    <t xml:space="preserve">Deepika </t>
  </si>
  <si>
    <t xml:space="preserve">Rashmi </t>
  </si>
  <si>
    <t xml:space="preserve">Ravi </t>
  </si>
  <si>
    <t xml:space="preserve">Suresh </t>
  </si>
  <si>
    <t>Mahesh</t>
  </si>
  <si>
    <t xml:space="preserve">Prakash </t>
  </si>
  <si>
    <t xml:space="preserve">Sunil </t>
  </si>
  <si>
    <t>Ganesh</t>
  </si>
  <si>
    <t xml:space="preserve">Krishna </t>
  </si>
  <si>
    <t>Ajay</t>
  </si>
  <si>
    <t>Sum of Cars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</si>
</sst>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microsoft.com/office/2007/relationships/slicerCache" Target="slicerCaches/slicerCache10.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microsoft.com/office/2007/relationships/slicerCache" Target="slicerCaches/slicerCache9.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07/relationships/slicerCache" Target="slicerCaches/slicerCache8.xml"/><Relationship Id="rId5" Type="http://schemas.microsoft.com/office/2007/relationships/slicerCache" Target="slicerCaches/slicerCache2.xml"/><Relationship Id="rId15" Type="http://schemas.openxmlformats.org/officeDocument/2006/relationships/styles" Target="styles.xml"/><Relationship Id="rId10" Type="http://schemas.microsoft.com/office/2007/relationships/slicerCache" Target="slicerCaches/slicerCache7.xml"/><Relationship Id="rId4" Type="http://schemas.microsoft.com/office/2007/relationships/slicerCache" Target="slicerCaches/slicerCache1.xml"/><Relationship Id="rId9" Type="http://schemas.microsoft.com/office/2007/relationships/slicerCache" Target="slicerCaches/slicerCache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Married</c:v>
              </c:pt>
              <c:pt idx="1">
                <c:v>Single</c:v>
              </c:pt>
            </c:strLit>
          </c:cat>
          <c:val>
            <c:numLit>
              <c:formatCode>General</c:formatCode>
              <c:ptCount val="2"/>
              <c:pt idx="0">
                <c:v>2360000</c:v>
              </c:pt>
              <c:pt idx="1">
                <c:v>2420000</c:v>
              </c:pt>
            </c:numLit>
          </c:val>
          <c:extLst>
            <c:ext xmlns:c16="http://schemas.microsoft.com/office/drawing/2014/chart" uri="{C3380CC4-5D6E-409C-BE32-E72D297353CC}">
              <c16:uniqueId val="{00000001-5E1D-4BA5-B9B0-221E9A26E186}"/>
            </c:ext>
          </c:extLst>
        </c:ser>
        <c:dLbls>
          <c:showLegendKey val="0"/>
          <c:showVal val="0"/>
          <c:showCatName val="0"/>
          <c:showSerName val="0"/>
          <c:showPercent val="0"/>
          <c:showBubbleSize val="0"/>
        </c:dLbls>
        <c:gapWidth val="219"/>
        <c:overlap val="-27"/>
        <c:axId val="95877216"/>
        <c:axId val="93956624"/>
      </c:barChart>
      <c:catAx>
        <c:axId val="9587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6624"/>
        <c:crosses val="autoZero"/>
        <c:auto val="1"/>
        <c:lblAlgn val="ctr"/>
        <c:lblOffset val="100"/>
        <c:noMultiLvlLbl val="0"/>
      </c:catAx>
      <c:valAx>
        <c:axId val="9395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7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
              <c:pt idx="0">
                <c:v>Arpita Bose Male</c:v>
              </c:pt>
              <c:pt idx="1">
                <c:v>Deepak Yadav Male</c:v>
              </c:pt>
              <c:pt idx="2">
                <c:v>Kusum Lata Female</c:v>
              </c:pt>
              <c:pt idx="3">
                <c:v>Mahesh Iyer Male</c:v>
              </c:pt>
              <c:pt idx="4">
                <c:v>Mohit Jain Male</c:v>
              </c:pt>
              <c:pt idx="5">
                <c:v>Pranav Iyer Male</c:v>
              </c:pt>
              <c:pt idx="6">
                <c:v>Rohan Mehta Male</c:v>
              </c:pt>
            </c:strLit>
          </c:cat>
          <c:val>
            <c:numLit>
              <c:formatCode>General</c:formatCode>
              <c:ptCount val="7"/>
              <c:pt idx="0">
                <c:v>130000</c:v>
              </c:pt>
              <c:pt idx="1">
                <c:v>170000</c:v>
              </c:pt>
              <c:pt idx="2">
                <c:v>130000</c:v>
              </c:pt>
              <c:pt idx="3">
                <c:v>170000</c:v>
              </c:pt>
              <c:pt idx="4">
                <c:v>130000</c:v>
              </c:pt>
              <c:pt idx="5">
                <c:v>130000</c:v>
              </c:pt>
              <c:pt idx="6">
                <c:v>160000</c:v>
              </c:pt>
            </c:numLit>
          </c:val>
          <c:extLst>
            <c:ext xmlns:c16="http://schemas.microsoft.com/office/drawing/2014/chart" uri="{C3380CC4-5D6E-409C-BE32-E72D297353CC}">
              <c16:uniqueId val="{00000004-545F-4BB1-92DA-4BA78D1E77D5}"/>
            </c:ext>
          </c:extLst>
        </c:ser>
        <c:dLbls>
          <c:showLegendKey val="0"/>
          <c:showVal val="0"/>
          <c:showCatName val="0"/>
          <c:showSerName val="0"/>
          <c:showPercent val="0"/>
          <c:showBubbleSize val="0"/>
        </c:dLbls>
        <c:gapWidth val="219"/>
        <c:overlap val="-27"/>
        <c:axId val="239004720"/>
        <c:axId val="237460256"/>
      </c:barChart>
      <c:catAx>
        <c:axId val="23900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460256"/>
        <c:crosses val="autoZero"/>
        <c:auto val="1"/>
        <c:lblAlgn val="ctr"/>
        <c:lblOffset val="100"/>
        <c:noMultiLvlLbl val="0"/>
      </c:catAx>
      <c:valAx>
        <c:axId val="23746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00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[rdash.xlsx]Sheet1!PivotTable7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Sheet1!$J$55</c:f>
              <c:strCache>
                <c:ptCount val="1"/>
                <c:pt idx="0">
                  <c:v>Total</c:v>
                </c:pt>
              </c:strCache>
            </c:strRef>
          </c:tx>
          <c:spPr>
            <a:solidFill>
              <a:schemeClr val="accent1"/>
            </a:solidFill>
            <a:ln>
              <a:noFill/>
            </a:ln>
            <a:effectLst/>
          </c:spPr>
          <c:invertIfNegative val="0"/>
          <c:cat>
            <c:strRef>
              <c:f>Sheet1!$I$56:$I$58</c:f>
              <c:strCache>
                <c:ptCount val="2"/>
                <c:pt idx="0">
                  <c:v>Female</c:v>
                </c:pt>
                <c:pt idx="1">
                  <c:v>Male</c:v>
                </c:pt>
              </c:strCache>
            </c:strRef>
          </c:cat>
          <c:val>
            <c:numRef>
              <c:f>Sheet1!$J$56:$J$58</c:f>
              <c:numCache>
                <c:formatCode>General</c:formatCode>
                <c:ptCount val="2"/>
                <c:pt idx="0">
                  <c:v>80000</c:v>
                </c:pt>
                <c:pt idx="1">
                  <c:v>80000</c:v>
                </c:pt>
              </c:numCache>
            </c:numRef>
          </c:val>
          <c:extLst>
            <c:ext xmlns:c16="http://schemas.microsoft.com/office/drawing/2014/chart" uri="{C3380CC4-5D6E-409C-BE32-E72D297353CC}">
              <c16:uniqueId val="{00000000-B404-40AB-9191-84F1832BAB43}"/>
            </c:ext>
          </c:extLst>
        </c:ser>
        <c:dLbls>
          <c:showLegendKey val="0"/>
          <c:showVal val="0"/>
          <c:showCatName val="0"/>
          <c:showSerName val="0"/>
          <c:showPercent val="0"/>
          <c:showBubbleSize val="0"/>
        </c:dLbls>
        <c:gapWidth val="219"/>
        <c:overlap val="-27"/>
        <c:axId val="355860704"/>
        <c:axId val="237454848"/>
      </c:barChart>
      <c:catAx>
        <c:axId val="35586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454848"/>
        <c:crosses val="autoZero"/>
        <c:auto val="1"/>
        <c:lblAlgn val="ctr"/>
        <c:lblOffset val="100"/>
        <c:noMultiLvlLbl val="0"/>
      </c:catAx>
      <c:valAx>
        <c:axId val="23745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86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[rdash.xlsx]Sheet1!PivotTable8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Sheet1!$J$93</c:f>
              <c:strCache>
                <c:ptCount val="1"/>
                <c:pt idx="0">
                  <c:v>Total</c:v>
                </c:pt>
              </c:strCache>
            </c:strRef>
          </c:tx>
          <c:spPr>
            <a:solidFill>
              <a:schemeClr val="accent1"/>
            </a:solidFill>
            <a:ln>
              <a:noFill/>
            </a:ln>
            <a:effectLst/>
          </c:spPr>
          <c:invertIfNegative val="0"/>
          <c:cat>
            <c:strRef>
              <c:f>Sheet1!$I$94</c:f>
              <c:strCache>
                <c:ptCount val="1"/>
                <c:pt idx="0">
                  <c:v>Grand Total</c:v>
                </c:pt>
              </c:strCache>
            </c:strRef>
          </c:cat>
          <c:val>
            <c:numRef>
              <c:f>Sheet1!$J$94</c:f>
              <c:numCache>
                <c:formatCode>General</c:formatCode>
                <c:ptCount val="1"/>
              </c:numCache>
            </c:numRef>
          </c:val>
          <c:extLst>
            <c:ext xmlns:c16="http://schemas.microsoft.com/office/drawing/2014/chart" uri="{C3380CC4-5D6E-409C-BE32-E72D297353CC}">
              <c16:uniqueId val="{00000000-0449-4220-AEE4-49ACD5E626D2}"/>
            </c:ext>
          </c:extLst>
        </c:ser>
        <c:dLbls>
          <c:showLegendKey val="0"/>
          <c:showVal val="0"/>
          <c:showCatName val="0"/>
          <c:showSerName val="0"/>
          <c:showPercent val="0"/>
          <c:showBubbleSize val="0"/>
        </c:dLbls>
        <c:gapWidth val="219"/>
        <c:axId val="315099792"/>
        <c:axId val="237461504"/>
      </c:barChart>
      <c:catAx>
        <c:axId val="315099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461504"/>
        <c:crosses val="autoZero"/>
        <c:auto val="1"/>
        <c:lblAlgn val="ctr"/>
        <c:lblOffset val="100"/>
        <c:noMultiLvlLbl val="0"/>
      </c:catAx>
      <c:valAx>
        <c:axId val="237461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09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[rdash.xlsx]Sheet1!PivotTable9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s>
    <c:plotArea>
      <c:layout/>
      <c:pieChart>
        <c:varyColors val="1"/>
        <c:ser>
          <c:idx val="0"/>
          <c:order val="0"/>
          <c:tx>
            <c:strRef>
              <c:f>Sheet1!$K$134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164-44A8-85B6-9BC304C028C5}"/>
              </c:ext>
            </c:extLst>
          </c:dPt>
          <c:dPt>
            <c:idx val="1"/>
            <c:bubble3D val="0"/>
            <c:spPr>
              <a:solidFill>
                <a:schemeClr val="accent2"/>
              </a:solidFill>
              <a:ln>
                <a:noFill/>
              </a:ln>
              <a:effectLst/>
            </c:spPr>
            <c:extLst>
              <c:ext xmlns:c16="http://schemas.microsoft.com/office/drawing/2014/chart" uri="{C3380CC4-5D6E-409C-BE32-E72D297353CC}">
                <c16:uniqueId val="{00000003-6164-44A8-85B6-9BC304C028C5}"/>
              </c:ext>
            </c:extLst>
          </c:dPt>
          <c:dPt>
            <c:idx val="2"/>
            <c:bubble3D val="0"/>
            <c:spPr>
              <a:solidFill>
                <a:schemeClr val="accent3"/>
              </a:solidFill>
              <a:ln>
                <a:noFill/>
              </a:ln>
              <a:effectLst/>
            </c:spPr>
            <c:extLst>
              <c:ext xmlns:c16="http://schemas.microsoft.com/office/drawing/2014/chart" uri="{C3380CC4-5D6E-409C-BE32-E72D297353CC}">
                <c16:uniqueId val="{00000005-6164-44A8-85B6-9BC304C028C5}"/>
              </c:ext>
            </c:extLst>
          </c:dPt>
          <c:dPt>
            <c:idx val="3"/>
            <c:bubble3D val="0"/>
            <c:spPr>
              <a:solidFill>
                <a:schemeClr val="accent4"/>
              </a:solidFill>
              <a:ln>
                <a:noFill/>
              </a:ln>
              <a:effectLst/>
            </c:spPr>
            <c:extLst>
              <c:ext xmlns:c16="http://schemas.microsoft.com/office/drawing/2014/chart" uri="{C3380CC4-5D6E-409C-BE32-E72D297353CC}">
                <c16:uniqueId val="{00000007-6164-44A8-85B6-9BC304C028C5}"/>
              </c:ext>
            </c:extLst>
          </c:dPt>
          <c:dPt>
            <c:idx val="4"/>
            <c:bubble3D val="0"/>
            <c:spPr>
              <a:solidFill>
                <a:schemeClr val="accent5"/>
              </a:solidFill>
              <a:ln>
                <a:noFill/>
              </a:ln>
              <a:effectLst/>
            </c:spPr>
            <c:extLst>
              <c:ext xmlns:c16="http://schemas.microsoft.com/office/drawing/2014/chart" uri="{C3380CC4-5D6E-409C-BE32-E72D297353CC}">
                <c16:uniqueId val="{00000009-6164-44A8-85B6-9BC304C028C5}"/>
              </c:ext>
            </c:extLst>
          </c:dPt>
          <c:dPt>
            <c:idx val="5"/>
            <c:bubble3D val="0"/>
            <c:spPr>
              <a:solidFill>
                <a:schemeClr val="accent6"/>
              </a:solidFill>
              <a:ln>
                <a:noFill/>
              </a:ln>
              <a:effectLst/>
            </c:spPr>
            <c:extLst>
              <c:ext xmlns:c16="http://schemas.microsoft.com/office/drawing/2014/chart" uri="{C3380CC4-5D6E-409C-BE32-E72D297353CC}">
                <c16:uniqueId val="{0000000B-6164-44A8-85B6-9BC304C028C5}"/>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6164-44A8-85B6-9BC304C028C5}"/>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6164-44A8-85B6-9BC304C028C5}"/>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6164-44A8-85B6-9BC304C028C5}"/>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6164-44A8-85B6-9BC304C028C5}"/>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6164-44A8-85B6-9BC304C028C5}"/>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6164-44A8-85B6-9BC304C028C5}"/>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6164-44A8-85B6-9BC304C028C5}"/>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6164-44A8-85B6-9BC304C028C5}"/>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6164-44A8-85B6-9BC304C028C5}"/>
              </c:ext>
            </c:extLst>
          </c:dPt>
          <c:cat>
            <c:multiLvlStrRef>
              <c:f>Sheet1!$J$135:$J$161</c:f>
              <c:multiLvlStrCache>
                <c:ptCount val="15"/>
                <c:lvl>
                  <c:pt idx="0">
                    <c:v>No</c:v>
                  </c:pt>
                  <c:pt idx="1">
                    <c:v>Yes</c:v>
                  </c:pt>
                  <c:pt idx="2">
                    <c:v>No</c:v>
                  </c:pt>
                  <c:pt idx="3">
                    <c:v>Yes</c:v>
                  </c:pt>
                  <c:pt idx="4">
                    <c:v>No</c:v>
                  </c:pt>
                  <c:pt idx="5">
                    <c:v>No</c:v>
                  </c:pt>
                  <c:pt idx="6">
                    <c:v>Yes</c:v>
                  </c:pt>
                  <c:pt idx="7">
                    <c:v>No</c:v>
                  </c:pt>
                  <c:pt idx="8">
                    <c:v>Yes</c:v>
                  </c:pt>
                  <c:pt idx="9">
                    <c:v>Yes</c:v>
                  </c:pt>
                  <c:pt idx="10">
                    <c:v>No</c:v>
                  </c:pt>
                  <c:pt idx="11">
                    <c:v>Yes</c:v>
                  </c:pt>
                  <c:pt idx="12">
                    <c:v>No</c:v>
                  </c:pt>
                  <c:pt idx="13">
                    <c:v>Yes</c:v>
                  </c:pt>
                  <c:pt idx="14">
                    <c:v>No</c:v>
                  </c:pt>
                </c:lvl>
                <c:lvl>
                  <c:pt idx="0">
                    <c:v>0-1 Miles</c:v>
                  </c:pt>
                  <c:pt idx="2">
                    <c:v>1-2 Miles</c:v>
                  </c:pt>
                  <c:pt idx="4">
                    <c:v>2-5 Miles</c:v>
                  </c:pt>
                  <c:pt idx="5">
                    <c:v>5-10 Miles</c:v>
                  </c:pt>
                  <c:pt idx="7">
                    <c:v>0-1 Miles</c:v>
                  </c:pt>
                  <c:pt idx="9">
                    <c:v>1-2 Miles</c:v>
                  </c:pt>
                  <c:pt idx="10">
                    <c:v>2-5 Miles</c:v>
                  </c:pt>
                  <c:pt idx="12">
                    <c:v>5-10 Miles</c:v>
                  </c:pt>
                  <c:pt idx="14">
                    <c:v>More Than 10 Miles</c:v>
                  </c:pt>
                </c:lvl>
                <c:lvl>
                  <c:pt idx="0">
                    <c:v>Married</c:v>
                  </c:pt>
                  <c:pt idx="7">
                    <c:v>Single</c:v>
                  </c:pt>
                </c:lvl>
              </c:multiLvlStrCache>
            </c:multiLvlStrRef>
          </c:cat>
          <c:val>
            <c:numRef>
              <c:f>Sheet1!$K$135:$K$161</c:f>
              <c:numCache>
                <c:formatCode>General</c:formatCode>
                <c:ptCount val="15"/>
                <c:pt idx="0">
                  <c:v>3</c:v>
                </c:pt>
                <c:pt idx="1">
                  <c:v>3</c:v>
                </c:pt>
                <c:pt idx="2">
                  <c:v>0</c:v>
                </c:pt>
                <c:pt idx="3">
                  <c:v>3</c:v>
                </c:pt>
                <c:pt idx="4">
                  <c:v>2</c:v>
                </c:pt>
                <c:pt idx="5">
                  <c:v>7</c:v>
                </c:pt>
                <c:pt idx="6">
                  <c:v>4</c:v>
                </c:pt>
                <c:pt idx="7">
                  <c:v>3</c:v>
                </c:pt>
                <c:pt idx="8">
                  <c:v>11</c:v>
                </c:pt>
                <c:pt idx="9">
                  <c:v>5</c:v>
                </c:pt>
                <c:pt idx="10">
                  <c:v>2</c:v>
                </c:pt>
                <c:pt idx="11">
                  <c:v>2</c:v>
                </c:pt>
                <c:pt idx="12">
                  <c:v>2</c:v>
                </c:pt>
                <c:pt idx="13">
                  <c:v>7</c:v>
                </c:pt>
                <c:pt idx="14">
                  <c:v>8</c:v>
                </c:pt>
              </c:numCache>
            </c:numRef>
          </c:val>
          <c:extLst>
            <c:ext xmlns:c16="http://schemas.microsoft.com/office/drawing/2014/chart" uri="{C3380CC4-5D6E-409C-BE32-E72D297353CC}">
              <c16:uniqueId val="{00000000-0CA9-43F8-A25C-8C5CF9D1BC1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[rdash.xlsx]Sheet1!PivotTable10</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areaChart>
        <c:grouping val="standard"/>
        <c:varyColors val="0"/>
        <c:ser>
          <c:idx val="0"/>
          <c:order val="0"/>
          <c:tx>
            <c:strRef>
              <c:f>Sheet1!$J$168</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Sheet1!$I$169:$I$174</c:f>
              <c:strCache>
                <c:ptCount val="5"/>
                <c:pt idx="0">
                  <c:v>Bachelors</c:v>
                </c:pt>
                <c:pt idx="1">
                  <c:v>Graduate Degree</c:v>
                </c:pt>
                <c:pt idx="2">
                  <c:v>High School</c:v>
                </c:pt>
                <c:pt idx="3">
                  <c:v>Partial College</c:v>
                </c:pt>
                <c:pt idx="4">
                  <c:v>Partial High School</c:v>
                </c:pt>
              </c:strCache>
            </c:strRef>
          </c:cat>
          <c:val>
            <c:numRef>
              <c:f>Sheet1!$J$169:$J$174</c:f>
              <c:numCache>
                <c:formatCode>General</c:formatCode>
                <c:ptCount val="5"/>
                <c:pt idx="0">
                  <c:v>7</c:v>
                </c:pt>
                <c:pt idx="1">
                  <c:v>1</c:v>
                </c:pt>
                <c:pt idx="2">
                  <c:v>17</c:v>
                </c:pt>
                <c:pt idx="3">
                  <c:v>54</c:v>
                </c:pt>
                <c:pt idx="4">
                  <c:v>13</c:v>
                </c:pt>
              </c:numCache>
            </c:numRef>
          </c:val>
          <c:extLst>
            <c:ext xmlns:c16="http://schemas.microsoft.com/office/drawing/2014/chart" uri="{C3380CC4-5D6E-409C-BE32-E72D297353CC}">
              <c16:uniqueId val="{00000000-05C6-4757-873C-3E88E7B98CC5}"/>
            </c:ext>
          </c:extLst>
        </c:ser>
        <c:dLbls>
          <c:showLegendKey val="0"/>
          <c:showVal val="0"/>
          <c:showCatName val="0"/>
          <c:showSerName val="0"/>
          <c:showPercent val="0"/>
          <c:showBubbleSize val="0"/>
        </c:dLbls>
        <c:axId val="314522080"/>
        <c:axId val="313927328"/>
      </c:areaChart>
      <c:catAx>
        <c:axId val="314522080"/>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313927328"/>
        <c:crosses val="autoZero"/>
        <c:auto val="1"/>
        <c:lblAlgn val="ctr"/>
        <c:lblOffset val="100"/>
        <c:noMultiLvlLbl val="0"/>
      </c:catAx>
      <c:valAx>
        <c:axId val="31392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5220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[rdash.xlsx]Sheet1!PivotTable11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radarChart>
        <c:radarStyle val="marker"/>
        <c:varyColors val="0"/>
        <c:ser>
          <c:idx val="0"/>
          <c:order val="0"/>
          <c:tx>
            <c:strRef>
              <c:f>Sheet1!$I$193</c:f>
              <c:strCache>
                <c:ptCount val="1"/>
                <c:pt idx="0">
                  <c:v>Total</c:v>
                </c:pt>
              </c:strCache>
            </c:strRef>
          </c:tx>
          <c:spPr>
            <a:ln w="28575" cap="rnd">
              <a:solidFill>
                <a:schemeClr val="accent1"/>
              </a:solidFill>
              <a:round/>
            </a:ln>
            <a:effectLst/>
          </c:spPr>
          <c:marker>
            <c:symbol val="none"/>
          </c:marker>
          <c:cat>
            <c:multiLvlStrRef>
              <c:f>Sheet1!$H$194:$H$209</c:f>
              <c:multiLvlStrCache>
                <c:ptCount val="10"/>
                <c:lvl>
                  <c:pt idx="0">
                    <c:v>No</c:v>
                  </c:pt>
                  <c:pt idx="1">
                    <c:v>Yes</c:v>
                  </c:pt>
                  <c:pt idx="2">
                    <c:v>No</c:v>
                  </c:pt>
                  <c:pt idx="3">
                    <c:v>Yes</c:v>
                  </c:pt>
                  <c:pt idx="4">
                    <c:v>No</c:v>
                  </c:pt>
                  <c:pt idx="5">
                    <c:v>Yes</c:v>
                  </c:pt>
                  <c:pt idx="6">
                    <c:v>No</c:v>
                  </c:pt>
                  <c:pt idx="7">
                    <c:v>Yes</c:v>
                  </c:pt>
                  <c:pt idx="8">
                    <c:v>No</c:v>
                  </c:pt>
                  <c:pt idx="9">
                    <c:v>Yes</c:v>
                  </c:pt>
                </c:lvl>
                <c:lvl>
                  <c:pt idx="0">
                    <c:v>Clerical</c:v>
                  </c:pt>
                  <c:pt idx="2">
                    <c:v>Management</c:v>
                  </c:pt>
                  <c:pt idx="4">
                    <c:v>Manual</c:v>
                  </c:pt>
                  <c:pt idx="6">
                    <c:v>Professional</c:v>
                  </c:pt>
                  <c:pt idx="8">
                    <c:v>Skilled Manual</c:v>
                  </c:pt>
                </c:lvl>
              </c:multiLvlStrCache>
            </c:multiLvlStrRef>
          </c:cat>
          <c:val>
            <c:numRef>
              <c:f>Sheet1!$I$194:$I$209</c:f>
              <c:numCache>
                <c:formatCode>General</c:formatCode>
                <c:ptCount val="10"/>
                <c:pt idx="0">
                  <c:v>240000</c:v>
                </c:pt>
                <c:pt idx="1">
                  <c:v>290000</c:v>
                </c:pt>
                <c:pt idx="2">
                  <c:v>80000</c:v>
                </c:pt>
                <c:pt idx="3">
                  <c:v>200000</c:v>
                </c:pt>
                <c:pt idx="4">
                  <c:v>90000</c:v>
                </c:pt>
                <c:pt idx="5">
                  <c:v>200000</c:v>
                </c:pt>
                <c:pt idx="6">
                  <c:v>520000</c:v>
                </c:pt>
                <c:pt idx="7">
                  <c:v>330000</c:v>
                </c:pt>
                <c:pt idx="8">
                  <c:v>110000</c:v>
                </c:pt>
                <c:pt idx="9">
                  <c:v>310000</c:v>
                </c:pt>
              </c:numCache>
            </c:numRef>
          </c:val>
          <c:extLst>
            <c:ext xmlns:c16="http://schemas.microsoft.com/office/drawing/2014/chart" uri="{C3380CC4-5D6E-409C-BE32-E72D297353CC}">
              <c16:uniqueId val="{00000000-80BB-44A0-92B9-C02C63759BF0}"/>
            </c:ext>
          </c:extLst>
        </c:ser>
        <c:dLbls>
          <c:showLegendKey val="0"/>
          <c:showVal val="0"/>
          <c:showCatName val="0"/>
          <c:showSerName val="0"/>
          <c:showPercent val="0"/>
          <c:showBubbleSize val="0"/>
        </c:dLbls>
        <c:axId val="304578592"/>
        <c:axId val="438710304"/>
      </c:radarChart>
      <c:catAx>
        <c:axId val="304578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710304"/>
        <c:crosses val="autoZero"/>
        <c:auto val="1"/>
        <c:lblAlgn val="ctr"/>
        <c:lblOffset val="100"/>
        <c:noMultiLvlLbl val="0"/>
      </c:catAx>
      <c:valAx>
        <c:axId val="43871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57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a:t>
            </a:r>
            <a:r>
              <a:rPr lang="en-US" baseline="0"/>
              <a:t> of Married And Unmarried</a:t>
            </a:r>
            <a:endParaRPr lang="en-US"/>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Married</c:v>
              </c:pt>
              <c:pt idx="1">
                <c:v>Single</c:v>
              </c:pt>
            </c:strLit>
          </c:cat>
          <c:val>
            <c:numLit>
              <c:formatCode>General</c:formatCode>
              <c:ptCount val="2"/>
              <c:pt idx="0">
                <c:v>2360000</c:v>
              </c:pt>
              <c:pt idx="1">
                <c:v>2420000</c:v>
              </c:pt>
            </c:numLit>
          </c:val>
          <c:extLst>
            <c:ext xmlns:c16="http://schemas.microsoft.com/office/drawing/2014/chart" uri="{C3380CC4-5D6E-409C-BE32-E72D297353CC}">
              <c16:uniqueId val="{00000001-7ADC-44A0-9182-792E8897CD7D}"/>
            </c:ext>
          </c:extLst>
        </c:ser>
        <c:dLbls>
          <c:showLegendKey val="0"/>
          <c:showVal val="0"/>
          <c:showCatName val="0"/>
          <c:showSerName val="0"/>
          <c:showPercent val="0"/>
          <c:showBubbleSize val="0"/>
        </c:dLbls>
        <c:gapWidth val="219"/>
        <c:overlap val="-27"/>
        <c:axId val="95877216"/>
        <c:axId val="93956624"/>
      </c:barChart>
      <c:catAx>
        <c:axId val="9587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6624"/>
        <c:crosses val="autoZero"/>
        <c:auto val="1"/>
        <c:lblAlgn val="ctr"/>
        <c:lblOffset val="100"/>
        <c:noMultiLvlLbl val="0"/>
      </c:catAx>
      <c:valAx>
        <c:axId val="9395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7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[rdash.xlsx]Sheet1!PivotTable7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of Both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s>
    <c:plotArea>
      <c:layout/>
      <c:barChart>
        <c:barDir val="col"/>
        <c:grouping val="clustered"/>
        <c:varyColors val="0"/>
        <c:ser>
          <c:idx val="0"/>
          <c:order val="0"/>
          <c:tx>
            <c:strRef>
              <c:f>Sheet1!$J$55</c:f>
              <c:strCache>
                <c:ptCount val="1"/>
                <c:pt idx="0">
                  <c:v>Total</c:v>
                </c:pt>
              </c:strCache>
            </c:strRef>
          </c:tx>
          <c:spPr>
            <a:solidFill>
              <a:schemeClr val="accent4"/>
            </a:solidFill>
            <a:ln>
              <a:noFill/>
            </a:ln>
            <a:effectLst/>
          </c:spPr>
          <c:invertIfNegative val="0"/>
          <c:cat>
            <c:strRef>
              <c:f>Sheet1!$I$56:$I$58</c:f>
              <c:strCache>
                <c:ptCount val="2"/>
                <c:pt idx="0">
                  <c:v>Female</c:v>
                </c:pt>
                <c:pt idx="1">
                  <c:v>Male</c:v>
                </c:pt>
              </c:strCache>
            </c:strRef>
          </c:cat>
          <c:val>
            <c:numRef>
              <c:f>Sheet1!$J$56:$J$58</c:f>
              <c:numCache>
                <c:formatCode>General</c:formatCode>
                <c:ptCount val="2"/>
                <c:pt idx="0">
                  <c:v>80000</c:v>
                </c:pt>
                <c:pt idx="1">
                  <c:v>80000</c:v>
                </c:pt>
              </c:numCache>
            </c:numRef>
          </c:val>
          <c:extLst>
            <c:ext xmlns:c16="http://schemas.microsoft.com/office/drawing/2014/chart" uri="{C3380CC4-5D6E-409C-BE32-E72D297353CC}">
              <c16:uniqueId val="{00000000-9396-4187-97A3-52C1CA264804}"/>
            </c:ext>
          </c:extLst>
        </c:ser>
        <c:dLbls>
          <c:showLegendKey val="0"/>
          <c:showVal val="0"/>
          <c:showCatName val="0"/>
          <c:showSerName val="0"/>
          <c:showPercent val="0"/>
          <c:showBubbleSize val="0"/>
        </c:dLbls>
        <c:gapWidth val="219"/>
        <c:overlap val="-27"/>
        <c:axId val="355860704"/>
        <c:axId val="237454848"/>
      </c:barChart>
      <c:catAx>
        <c:axId val="35586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454848"/>
        <c:crosses val="autoZero"/>
        <c:auto val="1"/>
        <c:lblAlgn val="ctr"/>
        <c:lblOffset val="100"/>
        <c:noMultiLvlLbl val="0"/>
      </c:catAx>
      <c:valAx>
        <c:axId val="23745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86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[rdash.xlsx]Sheet1!PivotTable8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a:t>
            </a:r>
            <a:r>
              <a:rPr lang="en-US" baseline="0"/>
              <a:t> Bike Purchases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pivotFmt>
      <c:pivotFmt>
        <c:idx val="2"/>
        <c:spPr>
          <a:solidFill>
            <a:schemeClr val="accent3"/>
          </a:solidFill>
          <a:ln>
            <a:noFill/>
          </a:ln>
          <a:effectLst/>
        </c:spPr>
        <c:marker>
          <c:symbol val="none"/>
        </c:marker>
      </c:pivotFmt>
    </c:pivotFmts>
    <c:plotArea>
      <c:layout/>
      <c:barChart>
        <c:barDir val="bar"/>
        <c:grouping val="clustered"/>
        <c:varyColors val="0"/>
        <c:ser>
          <c:idx val="0"/>
          <c:order val="0"/>
          <c:tx>
            <c:strRef>
              <c:f>Sheet1!$J$93</c:f>
              <c:strCache>
                <c:ptCount val="1"/>
                <c:pt idx="0">
                  <c:v>Total</c:v>
                </c:pt>
              </c:strCache>
            </c:strRef>
          </c:tx>
          <c:spPr>
            <a:solidFill>
              <a:schemeClr val="accent3"/>
            </a:solidFill>
            <a:ln>
              <a:noFill/>
            </a:ln>
            <a:effectLst/>
          </c:spPr>
          <c:invertIfNegative val="0"/>
          <c:cat>
            <c:strRef>
              <c:f>Sheet1!$I$94</c:f>
              <c:strCache>
                <c:ptCount val="1"/>
                <c:pt idx="0">
                  <c:v>Grand Total</c:v>
                </c:pt>
              </c:strCache>
            </c:strRef>
          </c:cat>
          <c:val>
            <c:numRef>
              <c:f>Sheet1!$J$94</c:f>
              <c:numCache>
                <c:formatCode>General</c:formatCode>
                <c:ptCount val="1"/>
              </c:numCache>
            </c:numRef>
          </c:val>
          <c:extLst>
            <c:ext xmlns:c16="http://schemas.microsoft.com/office/drawing/2014/chart" uri="{C3380CC4-5D6E-409C-BE32-E72D297353CC}">
              <c16:uniqueId val="{00000000-4300-4432-82A5-B7DD16CDB28E}"/>
            </c:ext>
          </c:extLst>
        </c:ser>
        <c:dLbls>
          <c:showLegendKey val="0"/>
          <c:showVal val="0"/>
          <c:showCatName val="0"/>
          <c:showSerName val="0"/>
          <c:showPercent val="0"/>
          <c:showBubbleSize val="0"/>
        </c:dLbls>
        <c:gapWidth val="219"/>
        <c:axId val="315099792"/>
        <c:axId val="237461504"/>
      </c:barChart>
      <c:catAx>
        <c:axId val="315099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461504"/>
        <c:crosses val="autoZero"/>
        <c:auto val="1"/>
        <c:lblAlgn val="ctr"/>
        <c:lblOffset val="100"/>
        <c:noMultiLvlLbl val="0"/>
      </c:catAx>
      <c:valAx>
        <c:axId val="237461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09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[rdash.xlsx]Sheet1!PivotTable9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of total Cars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marker>
          <c:symbol val="none"/>
        </c:marke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s>
    <c:plotArea>
      <c:layout/>
      <c:pieChart>
        <c:varyColors val="1"/>
        <c:ser>
          <c:idx val="0"/>
          <c:order val="0"/>
          <c:tx>
            <c:strRef>
              <c:f>Sheet1!$K$134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75C-4183-8588-C4B4AEC13714}"/>
              </c:ext>
            </c:extLst>
          </c:dPt>
          <c:dPt>
            <c:idx val="1"/>
            <c:bubble3D val="0"/>
            <c:spPr>
              <a:solidFill>
                <a:schemeClr val="accent2"/>
              </a:solidFill>
              <a:ln>
                <a:noFill/>
              </a:ln>
              <a:effectLst/>
            </c:spPr>
            <c:extLst>
              <c:ext xmlns:c16="http://schemas.microsoft.com/office/drawing/2014/chart" uri="{C3380CC4-5D6E-409C-BE32-E72D297353CC}">
                <c16:uniqueId val="{00000003-A75C-4183-8588-C4B4AEC13714}"/>
              </c:ext>
            </c:extLst>
          </c:dPt>
          <c:dPt>
            <c:idx val="2"/>
            <c:bubble3D val="0"/>
            <c:spPr>
              <a:solidFill>
                <a:schemeClr val="accent3"/>
              </a:solidFill>
              <a:ln>
                <a:noFill/>
              </a:ln>
              <a:effectLst/>
            </c:spPr>
            <c:extLst>
              <c:ext xmlns:c16="http://schemas.microsoft.com/office/drawing/2014/chart" uri="{C3380CC4-5D6E-409C-BE32-E72D297353CC}">
                <c16:uniqueId val="{00000005-A75C-4183-8588-C4B4AEC13714}"/>
              </c:ext>
            </c:extLst>
          </c:dPt>
          <c:dPt>
            <c:idx val="3"/>
            <c:bubble3D val="0"/>
            <c:spPr>
              <a:solidFill>
                <a:schemeClr val="accent4"/>
              </a:solidFill>
              <a:ln>
                <a:noFill/>
              </a:ln>
              <a:effectLst/>
            </c:spPr>
            <c:extLst>
              <c:ext xmlns:c16="http://schemas.microsoft.com/office/drawing/2014/chart" uri="{C3380CC4-5D6E-409C-BE32-E72D297353CC}">
                <c16:uniqueId val="{00000007-A75C-4183-8588-C4B4AEC13714}"/>
              </c:ext>
            </c:extLst>
          </c:dPt>
          <c:dPt>
            <c:idx val="4"/>
            <c:bubble3D val="0"/>
            <c:spPr>
              <a:solidFill>
                <a:schemeClr val="accent5"/>
              </a:solidFill>
              <a:ln>
                <a:noFill/>
              </a:ln>
              <a:effectLst/>
            </c:spPr>
            <c:extLst>
              <c:ext xmlns:c16="http://schemas.microsoft.com/office/drawing/2014/chart" uri="{C3380CC4-5D6E-409C-BE32-E72D297353CC}">
                <c16:uniqueId val="{00000009-A75C-4183-8588-C4B4AEC13714}"/>
              </c:ext>
            </c:extLst>
          </c:dPt>
          <c:dPt>
            <c:idx val="5"/>
            <c:bubble3D val="0"/>
            <c:spPr>
              <a:solidFill>
                <a:schemeClr val="accent6"/>
              </a:solidFill>
              <a:ln>
                <a:noFill/>
              </a:ln>
              <a:effectLst/>
            </c:spPr>
            <c:extLst>
              <c:ext xmlns:c16="http://schemas.microsoft.com/office/drawing/2014/chart" uri="{C3380CC4-5D6E-409C-BE32-E72D297353CC}">
                <c16:uniqueId val="{0000000B-A75C-4183-8588-C4B4AEC13714}"/>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75C-4183-8588-C4B4AEC13714}"/>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A75C-4183-8588-C4B4AEC13714}"/>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A75C-4183-8588-C4B4AEC13714}"/>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A75C-4183-8588-C4B4AEC13714}"/>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A75C-4183-8588-C4B4AEC13714}"/>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A75C-4183-8588-C4B4AEC13714}"/>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A75C-4183-8588-C4B4AEC13714}"/>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A75C-4183-8588-C4B4AEC13714}"/>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A75C-4183-8588-C4B4AEC13714}"/>
              </c:ext>
            </c:extLst>
          </c:dPt>
          <c:cat>
            <c:multiLvlStrRef>
              <c:f>Sheet1!$J$135:$J$161</c:f>
              <c:multiLvlStrCache>
                <c:ptCount val="15"/>
                <c:lvl>
                  <c:pt idx="0">
                    <c:v>No</c:v>
                  </c:pt>
                  <c:pt idx="1">
                    <c:v>Yes</c:v>
                  </c:pt>
                  <c:pt idx="2">
                    <c:v>No</c:v>
                  </c:pt>
                  <c:pt idx="3">
                    <c:v>Yes</c:v>
                  </c:pt>
                  <c:pt idx="4">
                    <c:v>No</c:v>
                  </c:pt>
                  <c:pt idx="5">
                    <c:v>No</c:v>
                  </c:pt>
                  <c:pt idx="6">
                    <c:v>Yes</c:v>
                  </c:pt>
                  <c:pt idx="7">
                    <c:v>No</c:v>
                  </c:pt>
                  <c:pt idx="8">
                    <c:v>Yes</c:v>
                  </c:pt>
                  <c:pt idx="9">
                    <c:v>Yes</c:v>
                  </c:pt>
                  <c:pt idx="10">
                    <c:v>No</c:v>
                  </c:pt>
                  <c:pt idx="11">
                    <c:v>Yes</c:v>
                  </c:pt>
                  <c:pt idx="12">
                    <c:v>No</c:v>
                  </c:pt>
                  <c:pt idx="13">
                    <c:v>Yes</c:v>
                  </c:pt>
                  <c:pt idx="14">
                    <c:v>No</c:v>
                  </c:pt>
                </c:lvl>
                <c:lvl>
                  <c:pt idx="0">
                    <c:v>0-1 Miles</c:v>
                  </c:pt>
                  <c:pt idx="2">
                    <c:v>1-2 Miles</c:v>
                  </c:pt>
                  <c:pt idx="4">
                    <c:v>2-5 Miles</c:v>
                  </c:pt>
                  <c:pt idx="5">
                    <c:v>5-10 Miles</c:v>
                  </c:pt>
                  <c:pt idx="7">
                    <c:v>0-1 Miles</c:v>
                  </c:pt>
                  <c:pt idx="9">
                    <c:v>1-2 Miles</c:v>
                  </c:pt>
                  <c:pt idx="10">
                    <c:v>2-5 Miles</c:v>
                  </c:pt>
                  <c:pt idx="12">
                    <c:v>5-10 Miles</c:v>
                  </c:pt>
                  <c:pt idx="14">
                    <c:v>More Than 10 Miles</c:v>
                  </c:pt>
                </c:lvl>
                <c:lvl>
                  <c:pt idx="0">
                    <c:v>Married</c:v>
                  </c:pt>
                  <c:pt idx="7">
                    <c:v>Single</c:v>
                  </c:pt>
                </c:lvl>
              </c:multiLvlStrCache>
            </c:multiLvlStrRef>
          </c:cat>
          <c:val>
            <c:numRef>
              <c:f>Sheet1!$K$135:$K$161</c:f>
              <c:numCache>
                <c:formatCode>General</c:formatCode>
                <c:ptCount val="15"/>
                <c:pt idx="0">
                  <c:v>3</c:v>
                </c:pt>
                <c:pt idx="1">
                  <c:v>3</c:v>
                </c:pt>
                <c:pt idx="2">
                  <c:v>0</c:v>
                </c:pt>
                <c:pt idx="3">
                  <c:v>3</c:v>
                </c:pt>
                <c:pt idx="4">
                  <c:v>2</c:v>
                </c:pt>
                <c:pt idx="5">
                  <c:v>7</c:v>
                </c:pt>
                <c:pt idx="6">
                  <c:v>4</c:v>
                </c:pt>
                <c:pt idx="7">
                  <c:v>3</c:v>
                </c:pt>
                <c:pt idx="8">
                  <c:v>11</c:v>
                </c:pt>
                <c:pt idx="9">
                  <c:v>5</c:v>
                </c:pt>
                <c:pt idx="10">
                  <c:v>2</c:v>
                </c:pt>
                <c:pt idx="11">
                  <c:v>2</c:v>
                </c:pt>
                <c:pt idx="12">
                  <c:v>2</c:v>
                </c:pt>
                <c:pt idx="13">
                  <c:v>7</c:v>
                </c:pt>
                <c:pt idx="14">
                  <c:v>8</c:v>
                </c:pt>
              </c:numCache>
            </c:numRef>
          </c:val>
          <c:extLst>
            <c:ext xmlns:c16="http://schemas.microsoft.com/office/drawing/2014/chart" uri="{C3380CC4-5D6E-409C-BE32-E72D297353CC}">
              <c16:uniqueId val="{0000001E-A75C-4183-8588-C4B4AEC1371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[rdash.xlsx]Sheet1!PivotTable10</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Participating in school</a:t>
            </a:r>
            <a:r>
              <a:rPr lang="en-US" baseline="0"/>
              <a:t>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w="9525">
              <a:solidFill>
                <a:schemeClr val="lt1"/>
              </a:solidFill>
            </a:ln>
            <a:effectLst/>
          </c:spPr>
        </c:marker>
      </c:pivotFmt>
      <c:pivotFmt>
        <c:idx val="1"/>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areaChart>
        <c:grouping val="standard"/>
        <c:varyColors val="0"/>
        <c:ser>
          <c:idx val="0"/>
          <c:order val="0"/>
          <c:tx>
            <c:strRef>
              <c:f>Sheet1!$J$168</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Sheet1!$I$169:$I$174</c:f>
              <c:strCache>
                <c:ptCount val="5"/>
                <c:pt idx="0">
                  <c:v>Bachelors</c:v>
                </c:pt>
                <c:pt idx="1">
                  <c:v>Graduate Degree</c:v>
                </c:pt>
                <c:pt idx="2">
                  <c:v>High School</c:v>
                </c:pt>
                <c:pt idx="3">
                  <c:v>Partial College</c:v>
                </c:pt>
                <c:pt idx="4">
                  <c:v>Partial High School</c:v>
                </c:pt>
              </c:strCache>
            </c:strRef>
          </c:cat>
          <c:val>
            <c:numRef>
              <c:f>Sheet1!$J$169:$J$174</c:f>
              <c:numCache>
                <c:formatCode>General</c:formatCode>
                <c:ptCount val="5"/>
                <c:pt idx="0">
                  <c:v>7</c:v>
                </c:pt>
                <c:pt idx="1">
                  <c:v>1</c:v>
                </c:pt>
                <c:pt idx="2">
                  <c:v>17</c:v>
                </c:pt>
                <c:pt idx="3">
                  <c:v>54</c:v>
                </c:pt>
                <c:pt idx="4">
                  <c:v>13</c:v>
                </c:pt>
              </c:numCache>
            </c:numRef>
          </c:val>
          <c:extLst>
            <c:ext xmlns:c16="http://schemas.microsoft.com/office/drawing/2014/chart" uri="{C3380CC4-5D6E-409C-BE32-E72D297353CC}">
              <c16:uniqueId val="{00000000-B781-4E2E-8B62-B348260CB029}"/>
            </c:ext>
          </c:extLst>
        </c:ser>
        <c:dLbls>
          <c:showLegendKey val="0"/>
          <c:showVal val="0"/>
          <c:showCatName val="0"/>
          <c:showSerName val="0"/>
          <c:showPercent val="0"/>
          <c:showBubbleSize val="0"/>
        </c:dLbls>
        <c:axId val="314522080"/>
        <c:axId val="313927328"/>
      </c:areaChart>
      <c:catAx>
        <c:axId val="314522080"/>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313927328"/>
        <c:crosses val="autoZero"/>
        <c:auto val="1"/>
        <c:lblAlgn val="ctr"/>
        <c:lblOffset val="100"/>
        <c:noMultiLvlLbl val="0"/>
      </c:catAx>
      <c:valAx>
        <c:axId val="31392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5220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[rdash.xlsx]Sheet1!PivotTable11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of</a:t>
            </a:r>
            <a:r>
              <a:rPr lang="en-US" baseline="0"/>
              <a:t> Productions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radarChart>
        <c:radarStyle val="marker"/>
        <c:varyColors val="0"/>
        <c:ser>
          <c:idx val="0"/>
          <c:order val="0"/>
          <c:tx>
            <c:strRef>
              <c:f>Sheet1!$I$193</c:f>
              <c:strCache>
                <c:ptCount val="1"/>
                <c:pt idx="0">
                  <c:v>Total</c:v>
                </c:pt>
              </c:strCache>
            </c:strRef>
          </c:tx>
          <c:spPr>
            <a:ln w="28575" cap="rnd">
              <a:solidFill>
                <a:schemeClr val="accent1"/>
              </a:solidFill>
              <a:round/>
            </a:ln>
            <a:effectLst/>
          </c:spPr>
          <c:marker>
            <c:symbol val="none"/>
          </c:marker>
          <c:cat>
            <c:multiLvlStrRef>
              <c:f>Sheet1!$H$194:$H$209</c:f>
              <c:multiLvlStrCache>
                <c:ptCount val="10"/>
                <c:lvl>
                  <c:pt idx="0">
                    <c:v>No</c:v>
                  </c:pt>
                  <c:pt idx="1">
                    <c:v>Yes</c:v>
                  </c:pt>
                  <c:pt idx="2">
                    <c:v>No</c:v>
                  </c:pt>
                  <c:pt idx="3">
                    <c:v>Yes</c:v>
                  </c:pt>
                  <c:pt idx="4">
                    <c:v>No</c:v>
                  </c:pt>
                  <c:pt idx="5">
                    <c:v>Yes</c:v>
                  </c:pt>
                  <c:pt idx="6">
                    <c:v>No</c:v>
                  </c:pt>
                  <c:pt idx="7">
                    <c:v>Yes</c:v>
                  </c:pt>
                  <c:pt idx="8">
                    <c:v>No</c:v>
                  </c:pt>
                  <c:pt idx="9">
                    <c:v>Yes</c:v>
                  </c:pt>
                </c:lvl>
                <c:lvl>
                  <c:pt idx="0">
                    <c:v>Clerical</c:v>
                  </c:pt>
                  <c:pt idx="2">
                    <c:v>Management</c:v>
                  </c:pt>
                  <c:pt idx="4">
                    <c:v>Manual</c:v>
                  </c:pt>
                  <c:pt idx="6">
                    <c:v>Professional</c:v>
                  </c:pt>
                  <c:pt idx="8">
                    <c:v>Skilled Manual</c:v>
                  </c:pt>
                </c:lvl>
              </c:multiLvlStrCache>
            </c:multiLvlStrRef>
          </c:cat>
          <c:val>
            <c:numRef>
              <c:f>Sheet1!$I$194:$I$209</c:f>
              <c:numCache>
                <c:formatCode>General</c:formatCode>
                <c:ptCount val="10"/>
                <c:pt idx="0">
                  <c:v>240000</c:v>
                </c:pt>
                <c:pt idx="1">
                  <c:v>290000</c:v>
                </c:pt>
                <c:pt idx="2">
                  <c:v>80000</c:v>
                </c:pt>
                <c:pt idx="3">
                  <c:v>200000</c:v>
                </c:pt>
                <c:pt idx="4">
                  <c:v>90000</c:v>
                </c:pt>
                <c:pt idx="5">
                  <c:v>200000</c:v>
                </c:pt>
                <c:pt idx="6">
                  <c:v>520000</c:v>
                </c:pt>
                <c:pt idx="7">
                  <c:v>330000</c:v>
                </c:pt>
                <c:pt idx="8">
                  <c:v>110000</c:v>
                </c:pt>
                <c:pt idx="9">
                  <c:v>310000</c:v>
                </c:pt>
              </c:numCache>
            </c:numRef>
          </c:val>
          <c:extLst>
            <c:ext xmlns:c16="http://schemas.microsoft.com/office/drawing/2014/chart" uri="{C3380CC4-5D6E-409C-BE32-E72D297353CC}">
              <c16:uniqueId val="{00000000-B13A-4842-A5BA-A90A85BEC713}"/>
            </c:ext>
          </c:extLst>
        </c:ser>
        <c:dLbls>
          <c:showLegendKey val="0"/>
          <c:showVal val="0"/>
          <c:showCatName val="0"/>
          <c:showSerName val="0"/>
          <c:showPercent val="0"/>
          <c:showBubbleSize val="0"/>
        </c:dLbls>
        <c:axId val="304578592"/>
        <c:axId val="438710304"/>
      </c:radarChart>
      <c:catAx>
        <c:axId val="304578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710304"/>
        <c:crosses val="autoZero"/>
        <c:auto val="1"/>
        <c:lblAlgn val="ctr"/>
        <c:lblOffset val="100"/>
        <c:noMultiLvlLbl val="0"/>
      </c:catAx>
      <c:valAx>
        <c:axId val="43871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57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123825</xdr:colOff>
      <xdr:row>101</xdr:row>
      <xdr:rowOff>28575</xdr:rowOff>
    </xdr:from>
    <xdr:to>
      <xdr:col>6</xdr:col>
      <xdr:colOff>542925</xdr:colOff>
      <xdr:row>115</xdr:row>
      <xdr:rowOff>104775</xdr:rowOff>
    </xdr:to>
    <xdr:graphicFrame macro="">
      <xdr:nvGraphicFramePr>
        <xdr:cNvPr id="2" name="Chart 1">
          <a:extLst>
            <a:ext uri="{FF2B5EF4-FFF2-40B4-BE49-F238E27FC236}">
              <a16:creationId xmlns:a16="http://schemas.microsoft.com/office/drawing/2014/main" id="{1B823E46-A7D3-4522-B993-73F572C46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209550</xdr:colOff>
      <xdr:row>116</xdr:row>
      <xdr:rowOff>0</xdr:rowOff>
    </xdr:from>
    <xdr:to>
      <xdr:col>8</xdr:col>
      <xdr:colOff>152400</xdr:colOff>
      <xdr:row>130</xdr:row>
      <xdr:rowOff>76200</xdr:rowOff>
    </xdr:to>
    <xdr:graphicFrame macro="">
      <xdr:nvGraphicFramePr>
        <xdr:cNvPr id="5" name="Chart 4">
          <a:extLst>
            <a:ext uri="{FF2B5EF4-FFF2-40B4-BE49-F238E27FC236}">
              <a16:creationId xmlns:a16="http://schemas.microsoft.com/office/drawing/2014/main" id="{9B7FEA12-F485-43CD-A465-C33CEFBEA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361950</xdr:colOff>
      <xdr:row>53</xdr:row>
      <xdr:rowOff>19050</xdr:rowOff>
    </xdr:from>
    <xdr:to>
      <xdr:col>7</xdr:col>
      <xdr:colOff>447675</xdr:colOff>
      <xdr:row>67</xdr:row>
      <xdr:rowOff>95250</xdr:rowOff>
    </xdr:to>
    <xdr:graphicFrame macro="">
      <xdr:nvGraphicFramePr>
        <xdr:cNvPr id="6" name="Chart 5">
          <a:extLst>
            <a:ext uri="{FF2B5EF4-FFF2-40B4-BE49-F238E27FC236}">
              <a16:creationId xmlns:a16="http://schemas.microsoft.com/office/drawing/2014/main" id="{2825A3C9-05DE-4A32-9389-A02CD61C0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228600</xdr:colOff>
      <xdr:row>90</xdr:row>
      <xdr:rowOff>38100</xdr:rowOff>
    </xdr:from>
    <xdr:to>
      <xdr:col>7</xdr:col>
      <xdr:colOff>314325</xdr:colOff>
      <xdr:row>104</xdr:row>
      <xdr:rowOff>114300</xdr:rowOff>
    </xdr:to>
    <xdr:graphicFrame macro="">
      <xdr:nvGraphicFramePr>
        <xdr:cNvPr id="7" name="Chart 6">
          <a:extLst>
            <a:ext uri="{FF2B5EF4-FFF2-40B4-BE49-F238E27FC236}">
              <a16:creationId xmlns:a16="http://schemas.microsoft.com/office/drawing/2014/main" id="{15B6697A-2AC6-420F-B201-84F40FC15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766762</xdr:colOff>
      <xdr:row>130</xdr:row>
      <xdr:rowOff>123825</xdr:rowOff>
    </xdr:from>
    <xdr:to>
      <xdr:col>7</xdr:col>
      <xdr:colOff>852487</xdr:colOff>
      <xdr:row>145</xdr:row>
      <xdr:rowOff>9525</xdr:rowOff>
    </xdr:to>
    <xdr:graphicFrame macro="">
      <xdr:nvGraphicFramePr>
        <xdr:cNvPr id="8" name="Chart 7">
          <a:extLst>
            <a:ext uri="{FF2B5EF4-FFF2-40B4-BE49-F238E27FC236}">
              <a16:creationId xmlns:a16="http://schemas.microsoft.com/office/drawing/2014/main" id="{0D4CFA5A-A5E4-421C-8CAE-45EE2F22CF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466725</xdr:colOff>
      <xdr:row>166</xdr:row>
      <xdr:rowOff>76200</xdr:rowOff>
    </xdr:from>
    <xdr:to>
      <xdr:col>7</xdr:col>
      <xdr:colOff>552450</xdr:colOff>
      <xdr:row>180</xdr:row>
      <xdr:rowOff>152400</xdr:rowOff>
    </xdr:to>
    <xdr:graphicFrame macro="">
      <xdr:nvGraphicFramePr>
        <xdr:cNvPr id="9" name="Chart 8">
          <a:extLst>
            <a:ext uri="{FF2B5EF4-FFF2-40B4-BE49-F238E27FC236}">
              <a16:creationId xmlns:a16="http://schemas.microsoft.com/office/drawing/2014/main" id="{F5AB2552-4B7C-41F0-A3F6-F4327B3AB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647700</xdr:colOff>
      <xdr:row>193</xdr:row>
      <xdr:rowOff>76200</xdr:rowOff>
    </xdr:from>
    <xdr:to>
      <xdr:col>6</xdr:col>
      <xdr:colOff>723900</xdr:colOff>
      <xdr:row>207</xdr:row>
      <xdr:rowOff>152400</xdr:rowOff>
    </xdr:to>
    <xdr:graphicFrame macro="">
      <xdr:nvGraphicFramePr>
        <xdr:cNvPr id="10" name="Chart 9">
          <a:extLst>
            <a:ext uri="{FF2B5EF4-FFF2-40B4-BE49-F238E27FC236}">
              <a16:creationId xmlns:a16="http://schemas.microsoft.com/office/drawing/2014/main" id="{D1BEA23B-AB19-4FA9-A46F-DD27D57C7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123825</xdr:colOff>
      <xdr:row>49</xdr:row>
      <xdr:rowOff>114300</xdr:rowOff>
    </xdr:from>
    <xdr:to>
      <xdr:col>7</xdr:col>
      <xdr:colOff>133350</xdr:colOff>
      <xdr:row>62</xdr:row>
      <xdr:rowOff>161925</xdr:rowOff>
    </xdr:to>
    <mc:AlternateContent xmlns:mc="http://schemas.openxmlformats.org/markup-compatibility/2006" xmlns:a14="http://schemas.microsoft.com/office/drawing/2010/main">
      <mc:Choice Requires="a14">
        <xdr:graphicFrame macro="">
          <xdr:nvGraphicFramePr>
            <xdr:cNvPr id="11" name="ID">
              <a:extLst>
                <a:ext uri="{FF2B5EF4-FFF2-40B4-BE49-F238E27FC236}">
                  <a16:creationId xmlns:a16="http://schemas.microsoft.com/office/drawing/2014/main" id="{77CCAF5D-C58A-4BCA-A046-E5A34E334A73}"/>
                </a:ext>
              </a:extLst>
            </xdr:cNvPr>
            <xdr:cNvGraphicFramePr/>
          </xdr:nvGraphicFramePr>
          <xdr:xfrm>
            <a:off x="0" y="0"/>
            <a:ext cx="0" cy="0"/>
          </xdr:xfrm>
          <a:graphic>
            <a:graphicData uri="http://schemas.microsoft.com/office/drawing/2010/slicer">
              <sle:slicer xmlns:sle="http://schemas.microsoft.com/office/drawing/2010/slicer" name="ID"/>
            </a:graphicData>
          </a:graphic>
        </xdr:graphicFrame>
      </mc:Choice>
      <mc:Fallback xmlns="">
        <xdr:sp macro="" textlink="">
          <xdr:nvSpPr>
            <xdr:cNvPr id="0" name=""/>
            <xdr:cNvSpPr>
              <a:spLocks noTextEdit="1"/>
            </xdr:cNvSpPr>
          </xdr:nvSpPr>
          <xdr:spPr>
            <a:xfrm>
              <a:off x="4772025" y="9448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209550</xdr:colOff>
      <xdr:row>51</xdr:row>
      <xdr:rowOff>9525</xdr:rowOff>
    </xdr:from>
    <xdr:to>
      <xdr:col>9</xdr:col>
      <xdr:colOff>85725</xdr:colOff>
      <xdr:row>64</xdr:row>
      <xdr:rowOff>57150</xdr:rowOff>
    </xdr:to>
    <mc:AlternateContent xmlns:mc="http://schemas.openxmlformats.org/markup-compatibility/2006" xmlns:a14="http://schemas.microsoft.com/office/drawing/2010/main">
      <mc:Choice Requires="a14">
        <xdr:graphicFrame macro="">
          <xdr:nvGraphicFramePr>
            <xdr:cNvPr id="12" name="Name">
              <a:extLst>
                <a:ext uri="{FF2B5EF4-FFF2-40B4-BE49-F238E27FC236}">
                  <a16:creationId xmlns:a16="http://schemas.microsoft.com/office/drawing/2014/main" id="{1929FBEA-170A-441C-AE8E-9AD41B068C38}"/>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6677025" y="9725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409575</xdr:colOff>
      <xdr:row>54</xdr:row>
      <xdr:rowOff>114300</xdr:rowOff>
    </xdr:from>
    <xdr:to>
      <xdr:col>8</xdr:col>
      <xdr:colOff>9525</xdr:colOff>
      <xdr:row>67</xdr:row>
      <xdr:rowOff>161925</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BFE009D9-6757-4560-9F38-BD4F6ACE9FF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724525" y="10401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647700</xdr:colOff>
      <xdr:row>56</xdr:row>
      <xdr:rowOff>171450</xdr:rowOff>
    </xdr:from>
    <xdr:to>
      <xdr:col>9</xdr:col>
      <xdr:colOff>523875</xdr:colOff>
      <xdr:row>70</xdr:row>
      <xdr:rowOff>28575</xdr:rowOff>
    </xdr:to>
    <mc:AlternateContent xmlns:mc="http://schemas.openxmlformats.org/markup-compatibility/2006" xmlns:a14="http://schemas.microsoft.com/office/drawing/2010/main">
      <mc:Choice Requires="a14">
        <xdr:graphicFrame macro="">
          <xdr:nvGraphicFramePr>
            <xdr:cNvPr id="14" name="Income">
              <a:extLst>
                <a:ext uri="{FF2B5EF4-FFF2-40B4-BE49-F238E27FC236}">
                  <a16:creationId xmlns:a16="http://schemas.microsoft.com/office/drawing/2014/main" id="{AD196A45-6954-4865-804F-BC78C322B8B2}"/>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mlns="">
        <xdr:sp macro="" textlink="">
          <xdr:nvSpPr>
            <xdr:cNvPr id="0" name=""/>
            <xdr:cNvSpPr>
              <a:spLocks noTextEdit="1"/>
            </xdr:cNvSpPr>
          </xdr:nvSpPr>
          <xdr:spPr>
            <a:xfrm>
              <a:off x="7115175" y="10839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533400</xdr:colOff>
      <xdr:row>91</xdr:row>
      <xdr:rowOff>114300</xdr:rowOff>
    </xdr:from>
    <xdr:to>
      <xdr:col>6</xdr:col>
      <xdr:colOff>809625</xdr:colOff>
      <xdr:row>104</xdr:row>
      <xdr:rowOff>161925</xdr:rowOff>
    </xdr:to>
    <mc:AlternateContent xmlns:mc="http://schemas.openxmlformats.org/markup-compatibility/2006" xmlns:a14="http://schemas.microsoft.com/office/drawing/2010/main">
      <mc:Choice Requires="a14">
        <xdr:graphicFrame macro="">
          <xdr:nvGraphicFramePr>
            <xdr:cNvPr id="15" name="Cars">
              <a:extLst>
                <a:ext uri="{FF2B5EF4-FFF2-40B4-BE49-F238E27FC236}">
                  <a16:creationId xmlns:a16="http://schemas.microsoft.com/office/drawing/2014/main" id="{49A191B0-11F8-470B-BD64-5A9DF105E0E9}"/>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4295775" y="17449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123825</xdr:colOff>
      <xdr:row>94</xdr:row>
      <xdr:rowOff>19050</xdr:rowOff>
    </xdr:from>
    <xdr:to>
      <xdr:col>7</xdr:col>
      <xdr:colOff>133350</xdr:colOff>
      <xdr:row>107</xdr:row>
      <xdr:rowOff>66675</xdr:rowOff>
    </xdr:to>
    <mc:AlternateContent xmlns:mc="http://schemas.openxmlformats.org/markup-compatibility/2006" xmlns:a14="http://schemas.microsoft.com/office/drawing/2010/main">
      <mc:Choice Requires="a14">
        <xdr:graphicFrame macro="">
          <xdr:nvGraphicFramePr>
            <xdr:cNvPr id="16" name="Commute Distance">
              <a:extLst>
                <a:ext uri="{FF2B5EF4-FFF2-40B4-BE49-F238E27FC236}">
                  <a16:creationId xmlns:a16="http://schemas.microsoft.com/office/drawing/2014/main" id="{25C9979D-9DFA-4FCB-AF7D-5D3B50BF1CEF}"/>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4772025" y="17926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600075</xdr:colOff>
      <xdr:row>96</xdr:row>
      <xdr:rowOff>114300</xdr:rowOff>
    </xdr:from>
    <xdr:to>
      <xdr:col>7</xdr:col>
      <xdr:colOff>609600</xdr:colOff>
      <xdr:row>109</xdr:row>
      <xdr:rowOff>161925</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089E1506-43DA-42F3-A4D4-13F08579D68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48275" y="18402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771525</xdr:colOff>
      <xdr:row>93</xdr:row>
      <xdr:rowOff>28575</xdr:rowOff>
    </xdr:from>
    <xdr:to>
      <xdr:col>11</xdr:col>
      <xdr:colOff>19050</xdr:colOff>
      <xdr:row>106</xdr:row>
      <xdr:rowOff>76200</xdr:rowOff>
    </xdr:to>
    <mc:AlternateContent xmlns:mc="http://schemas.openxmlformats.org/markup-compatibility/2006" xmlns:a14="http://schemas.microsoft.com/office/drawing/2010/main">
      <mc:Choice Requires="a14">
        <xdr:graphicFrame macro="">
          <xdr:nvGraphicFramePr>
            <xdr:cNvPr id="18" name="Age">
              <a:extLst>
                <a:ext uri="{FF2B5EF4-FFF2-40B4-BE49-F238E27FC236}">
                  <a16:creationId xmlns:a16="http://schemas.microsoft.com/office/drawing/2014/main" id="{B95044D7-A9A5-4B9E-BE7C-7CF5731A1E8C}"/>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8315325" y="17745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885825</xdr:colOff>
      <xdr:row>101</xdr:row>
      <xdr:rowOff>114300</xdr:rowOff>
    </xdr:from>
    <xdr:to>
      <xdr:col>8</xdr:col>
      <xdr:colOff>485775</xdr:colOff>
      <xdr:row>114</xdr:row>
      <xdr:rowOff>161925</xdr:rowOff>
    </xdr:to>
    <mc:AlternateContent xmlns:mc="http://schemas.openxmlformats.org/markup-compatibility/2006" xmlns:a14="http://schemas.microsoft.com/office/drawing/2010/main">
      <mc:Choice Requires="a14">
        <xdr:graphicFrame macro="">
          <xdr:nvGraphicFramePr>
            <xdr:cNvPr id="19" name="Age Bucket">
              <a:extLst>
                <a:ext uri="{FF2B5EF4-FFF2-40B4-BE49-F238E27FC236}">
                  <a16:creationId xmlns:a16="http://schemas.microsoft.com/office/drawing/2014/main" id="{1AE949C9-4A99-4CE7-BFCA-DBEFE26DC8FE}"/>
                </a:ext>
              </a:extLst>
            </xdr:cNvPr>
            <xdr:cNvGraphicFramePr/>
          </xdr:nvGraphicFramePr>
          <xdr:xfrm>
            <a:off x="0" y="0"/>
            <a:ext cx="0" cy="0"/>
          </xdr:xfrm>
          <a:graphic>
            <a:graphicData uri="http://schemas.microsoft.com/office/drawing/2010/slicer">
              <sle:slicer xmlns:sle="http://schemas.microsoft.com/office/drawing/2010/slicer" name="Age Bucket"/>
            </a:graphicData>
          </a:graphic>
        </xdr:graphicFrame>
      </mc:Choice>
      <mc:Fallback xmlns="">
        <xdr:sp macro="" textlink="">
          <xdr:nvSpPr>
            <xdr:cNvPr id="0" name=""/>
            <xdr:cNvSpPr>
              <a:spLocks noTextEdit="1"/>
            </xdr:cNvSpPr>
          </xdr:nvSpPr>
          <xdr:spPr>
            <a:xfrm>
              <a:off x="6200775" y="19354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209550</xdr:colOff>
      <xdr:row>104</xdr:row>
      <xdr:rowOff>19050</xdr:rowOff>
    </xdr:from>
    <xdr:to>
      <xdr:col>9</xdr:col>
      <xdr:colOff>85725</xdr:colOff>
      <xdr:row>117</xdr:row>
      <xdr:rowOff>66675</xdr:rowOff>
    </xdr:to>
    <mc:AlternateContent xmlns:mc="http://schemas.openxmlformats.org/markup-compatibility/2006" xmlns:a14="http://schemas.microsoft.com/office/drawing/2010/main">
      <mc:Choice Requires="a14">
        <xdr:graphicFrame macro="">
          <xdr:nvGraphicFramePr>
            <xdr:cNvPr id="20" name="Purchased Bike">
              <a:extLst>
                <a:ext uri="{FF2B5EF4-FFF2-40B4-BE49-F238E27FC236}">
                  <a16:creationId xmlns:a16="http://schemas.microsoft.com/office/drawing/2014/main" id="{F170B78F-77B2-444F-80D2-9BEC2A40B1AB}"/>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6677025" y="19831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174171</xdr:colOff>
      <xdr:row>6</xdr:row>
      <xdr:rowOff>16328</xdr:rowOff>
    </xdr:from>
    <xdr:to>
      <xdr:col>9</xdr:col>
      <xdr:colOff>431346</xdr:colOff>
      <xdr:row>20</xdr:row>
      <xdr:rowOff>54427</xdr:rowOff>
    </xdr:to>
    <xdr:graphicFrame macro="">
      <xdr:nvGraphicFramePr>
        <xdr:cNvPr id="2" name="Chart 1">
          <a:extLst>
            <a:ext uri="{FF2B5EF4-FFF2-40B4-BE49-F238E27FC236}">
              <a16:creationId xmlns:a16="http://schemas.microsoft.com/office/drawing/2014/main" id="{754F2CF3-7488-423F-876C-0C556F09F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258535</xdr:colOff>
      <xdr:row>6</xdr:row>
      <xdr:rowOff>32657</xdr:rowOff>
    </xdr:from>
    <xdr:to>
      <xdr:col>17</xdr:col>
      <xdr:colOff>340179</xdr:colOff>
      <xdr:row>20</xdr:row>
      <xdr:rowOff>108857</xdr:rowOff>
    </xdr:to>
    <xdr:graphicFrame macro="">
      <xdr:nvGraphicFramePr>
        <xdr:cNvPr id="4" name="Chart 3">
          <a:extLst>
            <a:ext uri="{FF2B5EF4-FFF2-40B4-BE49-F238E27FC236}">
              <a16:creationId xmlns:a16="http://schemas.microsoft.com/office/drawing/2014/main" id="{4D8C1E35-844D-4E2C-9D0E-7B5066EC2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85725</xdr:colOff>
      <xdr:row>21</xdr:row>
      <xdr:rowOff>92529</xdr:rowOff>
    </xdr:from>
    <xdr:to>
      <xdr:col>17</xdr:col>
      <xdr:colOff>393246</xdr:colOff>
      <xdr:row>35</xdr:row>
      <xdr:rowOff>168729</xdr:rowOff>
    </xdr:to>
    <xdr:graphicFrame macro="">
      <xdr:nvGraphicFramePr>
        <xdr:cNvPr id="5" name="Chart 4">
          <a:extLst>
            <a:ext uri="{FF2B5EF4-FFF2-40B4-BE49-F238E27FC236}">
              <a16:creationId xmlns:a16="http://schemas.microsoft.com/office/drawing/2014/main" id="{1FB3015F-B1EC-437D-99CB-2302D220D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50348</xdr:colOff>
      <xdr:row>21</xdr:row>
      <xdr:rowOff>29935</xdr:rowOff>
    </xdr:from>
    <xdr:to>
      <xdr:col>9</xdr:col>
      <xdr:colOff>449036</xdr:colOff>
      <xdr:row>35</xdr:row>
      <xdr:rowOff>176892</xdr:rowOff>
    </xdr:to>
    <xdr:graphicFrame macro="">
      <xdr:nvGraphicFramePr>
        <xdr:cNvPr id="6" name="Chart 5">
          <a:extLst>
            <a:ext uri="{FF2B5EF4-FFF2-40B4-BE49-F238E27FC236}">
              <a16:creationId xmlns:a16="http://schemas.microsoft.com/office/drawing/2014/main" id="{1BD8EE08-7167-4472-B4E6-40809E7B0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20410</xdr:colOff>
      <xdr:row>5</xdr:row>
      <xdr:rowOff>179614</xdr:rowOff>
    </xdr:from>
    <xdr:to>
      <xdr:col>25</xdr:col>
      <xdr:colOff>327932</xdr:colOff>
      <xdr:row>20</xdr:row>
      <xdr:rowOff>65314</xdr:rowOff>
    </xdr:to>
    <xdr:graphicFrame macro="">
      <xdr:nvGraphicFramePr>
        <xdr:cNvPr id="7" name="Chart 6">
          <a:extLst>
            <a:ext uri="{FF2B5EF4-FFF2-40B4-BE49-F238E27FC236}">
              <a16:creationId xmlns:a16="http://schemas.microsoft.com/office/drawing/2014/main" id="{1845AE25-983C-40CD-AB00-7137F3DC5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69396</xdr:colOff>
      <xdr:row>21</xdr:row>
      <xdr:rowOff>93889</xdr:rowOff>
    </xdr:from>
    <xdr:to>
      <xdr:col>25</xdr:col>
      <xdr:colOff>376918</xdr:colOff>
      <xdr:row>35</xdr:row>
      <xdr:rowOff>170089</xdr:rowOff>
    </xdr:to>
    <xdr:graphicFrame macro="">
      <xdr:nvGraphicFramePr>
        <xdr:cNvPr id="8" name="Chart 7">
          <a:extLst>
            <a:ext uri="{FF2B5EF4-FFF2-40B4-BE49-F238E27FC236}">
              <a16:creationId xmlns:a16="http://schemas.microsoft.com/office/drawing/2014/main" id="{917A96C8-499E-4BD9-8B8E-A006682DB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6</xdr:row>
      <xdr:rowOff>54429</xdr:rowOff>
    </xdr:from>
    <xdr:to>
      <xdr:col>2</xdr:col>
      <xdr:colOff>604157</xdr:colOff>
      <xdr:row>11</xdr:row>
      <xdr:rowOff>40822</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AED0E8C1-6BF4-4C41-A3BB-179A39104BD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1197429"/>
              <a:ext cx="1828800" cy="938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40821</xdr:colOff>
      <xdr:row>12</xdr:row>
      <xdr:rowOff>40822</xdr:rowOff>
    </xdr:from>
    <xdr:to>
      <xdr:col>3</xdr:col>
      <xdr:colOff>32657</xdr:colOff>
      <xdr:row>19</xdr:row>
      <xdr:rowOff>68036</xdr:rowOff>
    </xdr:to>
    <mc:AlternateContent xmlns:mc="http://schemas.openxmlformats.org/markup-compatibility/2006" xmlns:a14="http://schemas.microsoft.com/office/drawing/2010/main">
      <mc:Choice Requires="a14">
        <xdr:graphicFrame macro="">
          <xdr:nvGraphicFramePr>
            <xdr:cNvPr id="11" name="Age Bucket 1">
              <a:extLst>
                <a:ext uri="{FF2B5EF4-FFF2-40B4-BE49-F238E27FC236}">
                  <a16:creationId xmlns:a16="http://schemas.microsoft.com/office/drawing/2014/main" id="{F38897DE-C25F-444E-B611-6F38064C1049}"/>
                </a:ext>
              </a:extLst>
            </xdr:cNvPr>
            <xdr:cNvGraphicFramePr/>
          </xdr:nvGraphicFramePr>
          <xdr:xfrm>
            <a:off x="0" y="0"/>
            <a:ext cx="0" cy="0"/>
          </xdr:xfrm>
          <a:graphic>
            <a:graphicData uri="http://schemas.microsoft.com/office/drawing/2010/slicer">
              <sle:slicer xmlns:sle="http://schemas.microsoft.com/office/drawing/2010/slicer" name="Age Bucket 1"/>
            </a:graphicData>
          </a:graphic>
        </xdr:graphicFrame>
      </mc:Choice>
      <mc:Fallback xmlns="">
        <xdr:sp macro="" textlink="">
          <xdr:nvSpPr>
            <xdr:cNvPr id="0" name=""/>
            <xdr:cNvSpPr>
              <a:spLocks noTextEdit="1"/>
            </xdr:cNvSpPr>
          </xdr:nvSpPr>
          <xdr:spPr>
            <a:xfrm>
              <a:off x="40821" y="2326822"/>
              <a:ext cx="1828800" cy="1360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40822</xdr:colOff>
      <xdr:row>19</xdr:row>
      <xdr:rowOff>176894</xdr:rowOff>
    </xdr:from>
    <xdr:to>
      <xdr:col>3</xdr:col>
      <xdr:colOff>32658</xdr:colOff>
      <xdr:row>26</xdr:row>
      <xdr:rowOff>13608</xdr:rowOff>
    </xdr:to>
    <mc:AlternateContent xmlns:mc="http://schemas.openxmlformats.org/markup-compatibility/2006" xmlns:a14="http://schemas.microsoft.com/office/drawing/2010/main">
      <mc:Choice Requires="a14">
        <xdr:graphicFrame macro="">
          <xdr:nvGraphicFramePr>
            <xdr:cNvPr id="12" name="Age Bucket 2">
              <a:extLst>
                <a:ext uri="{FF2B5EF4-FFF2-40B4-BE49-F238E27FC236}">
                  <a16:creationId xmlns:a16="http://schemas.microsoft.com/office/drawing/2014/main" id="{6B2DB230-A17A-4588-AE50-B361202ADFCA}"/>
                </a:ext>
              </a:extLst>
            </xdr:cNvPr>
            <xdr:cNvGraphicFramePr/>
          </xdr:nvGraphicFramePr>
          <xdr:xfrm>
            <a:off x="0" y="0"/>
            <a:ext cx="0" cy="0"/>
          </xdr:xfrm>
          <a:graphic>
            <a:graphicData uri="http://schemas.microsoft.com/office/drawing/2010/slicer">
              <sle:slicer xmlns:sle="http://schemas.microsoft.com/office/drawing/2010/slicer" name="Age Bucket 2"/>
            </a:graphicData>
          </a:graphic>
        </xdr:graphicFrame>
      </mc:Choice>
      <mc:Fallback xmlns="">
        <xdr:sp macro="" textlink="">
          <xdr:nvSpPr>
            <xdr:cNvPr id="0" name=""/>
            <xdr:cNvSpPr>
              <a:spLocks noTextEdit="1"/>
            </xdr:cNvSpPr>
          </xdr:nvSpPr>
          <xdr:spPr>
            <a:xfrm>
              <a:off x="40822" y="3796394"/>
              <a:ext cx="1828800" cy="1170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40821</xdr:colOff>
      <xdr:row>26</xdr:row>
      <xdr:rowOff>176893</xdr:rowOff>
    </xdr:from>
    <xdr:to>
      <xdr:col>3</xdr:col>
      <xdr:colOff>32657</xdr:colOff>
      <xdr:row>35</xdr:row>
      <xdr:rowOff>136072</xdr:rowOff>
    </xdr:to>
    <mc:AlternateContent xmlns:mc="http://schemas.openxmlformats.org/markup-compatibility/2006" xmlns:a14="http://schemas.microsoft.com/office/drawing/2010/main">
      <mc:Choice Requires="a14">
        <xdr:graphicFrame macro="">
          <xdr:nvGraphicFramePr>
            <xdr:cNvPr id="13" name="Commute Distance 1">
              <a:extLst>
                <a:ext uri="{FF2B5EF4-FFF2-40B4-BE49-F238E27FC236}">
                  <a16:creationId xmlns:a16="http://schemas.microsoft.com/office/drawing/2014/main" id="{F4D9F19C-B968-4E92-BEC3-F3FAFB04EA26}"/>
                </a:ext>
              </a:extLst>
            </xdr:cNvPr>
            <xdr:cNvGraphicFramePr/>
          </xdr:nvGraphicFramePr>
          <xdr:xfrm>
            <a:off x="0" y="0"/>
            <a:ext cx="0" cy="0"/>
          </xdr:xfrm>
          <a:graphic>
            <a:graphicData uri="http://schemas.microsoft.com/office/drawing/2010/slicer">
              <sle:slicer xmlns:sle="http://schemas.microsoft.com/office/drawing/2010/slicer" name="Commute Distance 1"/>
            </a:graphicData>
          </a:graphic>
        </xdr:graphicFrame>
      </mc:Choice>
      <mc:Fallback xmlns="">
        <xdr:sp macro="" textlink="">
          <xdr:nvSpPr>
            <xdr:cNvPr id="0" name=""/>
            <xdr:cNvSpPr>
              <a:spLocks noTextEdit="1"/>
            </xdr:cNvSpPr>
          </xdr:nvSpPr>
          <xdr:spPr>
            <a:xfrm>
              <a:off x="40821" y="5129893"/>
              <a:ext cx="1828800" cy="1673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95251</xdr:colOff>
      <xdr:row>0</xdr:row>
      <xdr:rowOff>122464</xdr:rowOff>
    </xdr:from>
    <xdr:to>
      <xdr:col>17</xdr:col>
      <xdr:colOff>68036</xdr:colOff>
      <xdr:row>5</xdr:row>
      <xdr:rowOff>27214</xdr:rowOff>
    </xdr:to>
    <xdr:sp macro="" textlink="">
      <xdr:nvSpPr>
        <xdr:cNvPr id="14" name="Rectangle: Rounded Corners 13">
          <a:extLst>
            <a:ext uri="{FF2B5EF4-FFF2-40B4-BE49-F238E27FC236}">
              <a16:creationId xmlns:a16="http://schemas.microsoft.com/office/drawing/2014/main" id="{757CAE31-1389-464A-AC21-72AEC7819357}"/>
            </a:ext>
          </a:extLst>
        </xdr:cNvPr>
        <xdr:cNvSpPr/>
      </xdr:nvSpPr>
      <xdr:spPr>
        <a:xfrm>
          <a:off x="4993822" y="122464"/>
          <a:ext cx="5483678" cy="857250"/>
        </a:xfrm>
        <a:prstGeom prst="round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lumMod val="75000"/>
                  <a:lumOff val="25000"/>
                </a:schemeClr>
              </a:solidFill>
            </a:rPr>
            <a:t>Sales of Bike</a:t>
          </a:r>
          <a:r>
            <a:rPr lang="en-US" sz="2000" baseline="0">
              <a:solidFill>
                <a:schemeClr val="tx1">
                  <a:lumMod val="75000"/>
                  <a:lumOff val="25000"/>
                </a:schemeClr>
              </a:solidFill>
            </a:rPr>
            <a:t> and Cars in different ages </a:t>
          </a:r>
          <a:endParaRPr lang="en-US" sz="2000">
            <a:solidFill>
              <a:schemeClr val="tx1">
                <a:lumMod val="75000"/>
                <a:lumOff val="2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10.589652662034" createdVersion="6" refreshedVersion="6" minRefreshableVersion="3" recordCount="49" xr:uid="{27703A00-4D3F-4E48-B37A-2CEA932C991B}">
  <cacheSource type="worksheet">
    <worksheetSource ref="A1:O50" sheet="Sheet1"/>
  </cacheSource>
  <cacheFields count="15">
    <cacheField name="ID" numFmtId="0">
      <sharedItems containsSemiMixedTypes="0" containsString="0" containsNumber="1" containsInteger="1" minValue="11434" maxValue="29380" count="49">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sharedItems>
    </cacheField>
    <cacheField name="Name" numFmtId="0">
      <sharedItems count="49">
        <s v="suyash "/>
        <s v="ayush"/>
        <s v="Vihaan "/>
        <s v="Aditya "/>
        <s v="Arjun "/>
        <s v="Sai "/>
        <s v="Rohan"/>
        <s v="Karan "/>
        <s v="Rahul "/>
        <s v="Ankit "/>
        <s v="Manish"/>
        <s v="Vikram "/>
        <s v="Deepak "/>
        <s v="Nikhil "/>
        <s v="Sachin"/>
        <s v="Amit "/>
        <s v="Varun"/>
        <s v="Harsh "/>
        <s v="Rajesh"/>
        <s v="Siddharth"/>
        <s v="Akash "/>
        <s v="Neha "/>
        <s v="Priya "/>
        <s v="Ananya"/>
        <s v="Divya"/>
        <s v="Pooja "/>
        <s v="Swati "/>
        <s v="Ritu "/>
        <s v="Megha "/>
        <s v="Shreya "/>
        <s v="Kavya "/>
        <s v="Aishwarya"/>
        <s v="Sneha"/>
        <s v="Tanvi "/>
        <s v="Nidh"/>
        <s v="Payal "/>
        <s v="Simran "/>
        <s v="Komal "/>
        <s v="Preeti "/>
        <s v="Deepika "/>
        <s v="Rashmi "/>
        <s v="Ravi "/>
        <s v="Suresh "/>
        <s v="Mahesh"/>
        <s v="Prakash "/>
        <s v="Sunil "/>
        <s v="Ganesh"/>
        <s v="Krishna "/>
        <s v="Ajay"/>
      </sharedItems>
    </cacheField>
    <cacheField name="Marital Status" numFmtId="0">
      <sharedItems count="2">
        <s v="Married"/>
        <s v="Single"/>
      </sharedItems>
    </cacheField>
    <cacheField name="Gender" numFmtId="0">
      <sharedItems count="2">
        <s v="Male"/>
        <s v="Female"/>
      </sharedItems>
    </cacheField>
    <cacheField name="Income" numFmtId="164">
      <sharedItems containsSemiMixedTypes="0" containsString="0" containsNumber="1" containsInteger="1" minValue="10000" maxValue="170000" count="12">
        <n v="40000"/>
        <n v="30000"/>
        <n v="80000"/>
        <n v="70000"/>
        <n v="10000"/>
        <n v="160000"/>
        <n v="20000"/>
        <n v="120000"/>
        <n v="90000"/>
        <n v="170000"/>
        <n v="60000"/>
        <n v="10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More Than 10 Miles"/>
      </sharedItems>
    </cacheField>
    <cacheField name="Region" numFmtId="0">
      <sharedItems count="2">
        <s v="Europe"/>
        <s v="Pacific"/>
      </sharedItems>
    </cacheField>
    <cacheField name="Age" numFmtId="0">
      <sharedItems containsSemiMixedTypes="0" containsString="0" containsNumber="1" containsInteger="1" minValue="26" maxValue="66" count="32">
        <n v="42"/>
        <n v="43"/>
        <n v="60"/>
        <n v="41"/>
        <n v="36"/>
        <n v="50"/>
        <n v="33"/>
        <n v="58"/>
        <n v="40"/>
        <n v="54"/>
        <n v="55"/>
        <n v="35"/>
        <n v="45"/>
        <n v="38"/>
        <n v="59"/>
        <n v="47"/>
        <n v="56"/>
        <n v="34"/>
        <n v="63"/>
        <n v="29"/>
        <n v="44"/>
        <n v="32"/>
        <n v="26"/>
        <n v="31"/>
        <n v="62"/>
        <n v="30"/>
        <n v="28"/>
        <n v="65"/>
        <n v="48"/>
        <n v="66"/>
        <n v="46"/>
        <n v="52"/>
      </sharedItems>
    </cacheField>
    <cacheField name="Age Bucket" numFmtId="0">
      <sharedItems count="3">
        <s v="Middle Age"/>
        <s v="Old"/>
        <s v="Youngster"/>
      </sharedItems>
    </cacheField>
    <cacheField name="Purchased Bike" numFmtId="0">
      <sharedItems count="2">
        <s v="No"/>
        <s v="Yes"/>
      </sharedItems>
    </cacheField>
  </cacheFields>
  <extLst>
    <ext xmlns:x14="http://schemas.microsoft.com/office/spreadsheetml/2009/9/main" uri="{725AE2AE-9491-48be-B2B4-4EB974FC3084}">
      <x14:pivotCacheDefinition pivotCacheId="8224557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x v="0"/>
    <x v="0"/>
    <x v="0"/>
    <n v="1"/>
    <x v="0"/>
    <x v="0"/>
    <s v="Yes"/>
    <x v="0"/>
    <x v="0"/>
    <x v="0"/>
    <x v="0"/>
    <x v="0"/>
    <x v="0"/>
  </r>
  <r>
    <x v="1"/>
    <x v="1"/>
    <x v="0"/>
    <x v="0"/>
    <x v="1"/>
    <n v="3"/>
    <x v="1"/>
    <x v="1"/>
    <s v="Yes"/>
    <x v="1"/>
    <x v="0"/>
    <x v="0"/>
    <x v="1"/>
    <x v="0"/>
    <x v="0"/>
  </r>
  <r>
    <x v="2"/>
    <x v="2"/>
    <x v="0"/>
    <x v="0"/>
    <x v="2"/>
    <n v="5"/>
    <x v="1"/>
    <x v="2"/>
    <s v="No"/>
    <x v="2"/>
    <x v="1"/>
    <x v="0"/>
    <x v="2"/>
    <x v="1"/>
    <x v="0"/>
  </r>
  <r>
    <x v="3"/>
    <x v="3"/>
    <x v="1"/>
    <x v="0"/>
    <x v="3"/>
    <n v="0"/>
    <x v="0"/>
    <x v="2"/>
    <s v="Yes"/>
    <x v="1"/>
    <x v="2"/>
    <x v="1"/>
    <x v="3"/>
    <x v="0"/>
    <x v="1"/>
  </r>
  <r>
    <x v="4"/>
    <x v="4"/>
    <x v="1"/>
    <x v="0"/>
    <x v="1"/>
    <n v="0"/>
    <x v="0"/>
    <x v="1"/>
    <s v="No"/>
    <x v="0"/>
    <x v="0"/>
    <x v="0"/>
    <x v="4"/>
    <x v="0"/>
    <x v="1"/>
  </r>
  <r>
    <x v="5"/>
    <x v="5"/>
    <x v="0"/>
    <x v="0"/>
    <x v="4"/>
    <n v="2"/>
    <x v="1"/>
    <x v="3"/>
    <s v="Yes"/>
    <x v="0"/>
    <x v="3"/>
    <x v="0"/>
    <x v="5"/>
    <x v="0"/>
    <x v="0"/>
  </r>
  <r>
    <x v="6"/>
    <x v="6"/>
    <x v="1"/>
    <x v="0"/>
    <x v="5"/>
    <n v="2"/>
    <x v="2"/>
    <x v="4"/>
    <s v="Yes"/>
    <x v="3"/>
    <x v="0"/>
    <x v="1"/>
    <x v="6"/>
    <x v="0"/>
    <x v="1"/>
  </r>
  <r>
    <x v="7"/>
    <x v="7"/>
    <x v="0"/>
    <x v="0"/>
    <x v="0"/>
    <n v="1"/>
    <x v="0"/>
    <x v="0"/>
    <s v="Yes"/>
    <x v="0"/>
    <x v="0"/>
    <x v="0"/>
    <x v="1"/>
    <x v="0"/>
    <x v="1"/>
  </r>
  <r>
    <x v="8"/>
    <x v="8"/>
    <x v="0"/>
    <x v="0"/>
    <x v="6"/>
    <n v="2"/>
    <x v="3"/>
    <x v="1"/>
    <s v="Yes"/>
    <x v="2"/>
    <x v="2"/>
    <x v="1"/>
    <x v="7"/>
    <x v="1"/>
    <x v="0"/>
  </r>
  <r>
    <x v="9"/>
    <x v="9"/>
    <x v="0"/>
    <x v="0"/>
    <x v="7"/>
    <n v="2"/>
    <x v="1"/>
    <x v="3"/>
    <s v="Yes"/>
    <x v="1"/>
    <x v="0"/>
    <x v="0"/>
    <x v="8"/>
    <x v="0"/>
    <x v="1"/>
  </r>
  <r>
    <x v="10"/>
    <x v="10"/>
    <x v="0"/>
    <x v="0"/>
    <x v="1"/>
    <n v="3"/>
    <x v="2"/>
    <x v="0"/>
    <s v="No"/>
    <x v="2"/>
    <x v="3"/>
    <x v="1"/>
    <x v="9"/>
    <x v="0"/>
    <x v="1"/>
  </r>
  <r>
    <x v="11"/>
    <x v="11"/>
    <x v="1"/>
    <x v="1"/>
    <x v="8"/>
    <n v="0"/>
    <x v="0"/>
    <x v="2"/>
    <s v="No"/>
    <x v="3"/>
    <x v="4"/>
    <x v="1"/>
    <x v="4"/>
    <x v="0"/>
    <x v="0"/>
  </r>
  <r>
    <x v="12"/>
    <x v="12"/>
    <x v="0"/>
    <x v="0"/>
    <x v="9"/>
    <n v="5"/>
    <x v="1"/>
    <x v="2"/>
    <s v="Yes"/>
    <x v="0"/>
    <x v="0"/>
    <x v="0"/>
    <x v="10"/>
    <x v="0"/>
    <x v="0"/>
  </r>
  <r>
    <x v="13"/>
    <x v="13"/>
    <x v="0"/>
    <x v="0"/>
    <x v="0"/>
    <n v="2"/>
    <x v="1"/>
    <x v="1"/>
    <s v="Yes"/>
    <x v="1"/>
    <x v="3"/>
    <x v="0"/>
    <x v="11"/>
    <x v="0"/>
    <x v="1"/>
  </r>
  <r>
    <x v="14"/>
    <x v="14"/>
    <x v="1"/>
    <x v="0"/>
    <x v="10"/>
    <n v="1"/>
    <x v="1"/>
    <x v="0"/>
    <s v="No"/>
    <x v="1"/>
    <x v="0"/>
    <x v="1"/>
    <x v="12"/>
    <x v="0"/>
    <x v="1"/>
  </r>
  <r>
    <x v="15"/>
    <x v="15"/>
    <x v="1"/>
    <x v="0"/>
    <x v="4"/>
    <n v="2"/>
    <x v="2"/>
    <x v="3"/>
    <s v="Yes"/>
    <x v="1"/>
    <x v="0"/>
    <x v="0"/>
    <x v="13"/>
    <x v="0"/>
    <x v="1"/>
  </r>
  <r>
    <x v="16"/>
    <x v="16"/>
    <x v="1"/>
    <x v="0"/>
    <x v="1"/>
    <n v="3"/>
    <x v="1"/>
    <x v="1"/>
    <s v="No"/>
    <x v="2"/>
    <x v="3"/>
    <x v="1"/>
    <x v="14"/>
    <x v="1"/>
    <x v="1"/>
  </r>
  <r>
    <x v="17"/>
    <x v="17"/>
    <x v="0"/>
    <x v="0"/>
    <x v="1"/>
    <n v="1"/>
    <x v="0"/>
    <x v="1"/>
    <s v="Yes"/>
    <x v="0"/>
    <x v="0"/>
    <x v="0"/>
    <x v="15"/>
    <x v="0"/>
    <x v="0"/>
  </r>
  <r>
    <x v="18"/>
    <x v="18"/>
    <x v="1"/>
    <x v="0"/>
    <x v="0"/>
    <n v="2"/>
    <x v="1"/>
    <x v="1"/>
    <s v="Yes"/>
    <x v="1"/>
    <x v="3"/>
    <x v="0"/>
    <x v="11"/>
    <x v="0"/>
    <x v="1"/>
  </r>
  <r>
    <x v="19"/>
    <x v="19"/>
    <x v="1"/>
    <x v="0"/>
    <x v="6"/>
    <n v="2"/>
    <x v="3"/>
    <x v="1"/>
    <s v="Yes"/>
    <x v="2"/>
    <x v="2"/>
    <x v="1"/>
    <x v="10"/>
    <x v="0"/>
    <x v="1"/>
  </r>
  <r>
    <x v="20"/>
    <x v="20"/>
    <x v="0"/>
    <x v="0"/>
    <x v="0"/>
    <n v="0"/>
    <x v="4"/>
    <x v="1"/>
    <s v="Yes"/>
    <x v="0"/>
    <x v="0"/>
    <x v="0"/>
    <x v="4"/>
    <x v="0"/>
    <x v="1"/>
  </r>
  <r>
    <x v="21"/>
    <x v="21"/>
    <x v="1"/>
    <x v="1"/>
    <x v="2"/>
    <n v="0"/>
    <x v="0"/>
    <x v="2"/>
    <s v="Yes"/>
    <x v="3"/>
    <x v="4"/>
    <x v="1"/>
    <x v="11"/>
    <x v="0"/>
    <x v="0"/>
  </r>
  <r>
    <x v="22"/>
    <x v="22"/>
    <x v="1"/>
    <x v="0"/>
    <x v="0"/>
    <n v="2"/>
    <x v="1"/>
    <x v="1"/>
    <s v="Yes"/>
    <x v="0"/>
    <x v="3"/>
    <x v="0"/>
    <x v="11"/>
    <x v="0"/>
    <x v="1"/>
  </r>
  <r>
    <x v="23"/>
    <x v="23"/>
    <x v="0"/>
    <x v="0"/>
    <x v="2"/>
    <n v="5"/>
    <x v="2"/>
    <x v="4"/>
    <s v="No"/>
    <x v="4"/>
    <x v="2"/>
    <x v="0"/>
    <x v="16"/>
    <x v="1"/>
    <x v="0"/>
  </r>
  <r>
    <x v="24"/>
    <x v="24"/>
    <x v="1"/>
    <x v="0"/>
    <x v="0"/>
    <n v="2"/>
    <x v="1"/>
    <x v="1"/>
    <s v="No"/>
    <x v="1"/>
    <x v="0"/>
    <x v="0"/>
    <x v="17"/>
    <x v="0"/>
    <x v="0"/>
  </r>
  <r>
    <x v="25"/>
    <x v="25"/>
    <x v="1"/>
    <x v="1"/>
    <x v="1"/>
    <n v="1"/>
    <x v="0"/>
    <x v="1"/>
    <s v="Yes"/>
    <x v="0"/>
    <x v="0"/>
    <x v="0"/>
    <x v="18"/>
    <x v="1"/>
    <x v="0"/>
  </r>
  <r>
    <x v="26"/>
    <x v="26"/>
    <x v="1"/>
    <x v="0"/>
    <x v="1"/>
    <n v="0"/>
    <x v="1"/>
    <x v="1"/>
    <s v="No"/>
    <x v="1"/>
    <x v="0"/>
    <x v="0"/>
    <x v="19"/>
    <x v="2"/>
    <x v="1"/>
  </r>
  <r>
    <x v="27"/>
    <x v="27"/>
    <x v="1"/>
    <x v="1"/>
    <x v="11"/>
    <n v="0"/>
    <x v="0"/>
    <x v="2"/>
    <s v="No"/>
    <x v="1"/>
    <x v="2"/>
    <x v="1"/>
    <x v="8"/>
    <x v="0"/>
    <x v="0"/>
  </r>
  <r>
    <x v="28"/>
    <x v="28"/>
    <x v="0"/>
    <x v="1"/>
    <x v="3"/>
    <n v="5"/>
    <x v="1"/>
    <x v="0"/>
    <s v="Yes"/>
    <x v="2"/>
    <x v="2"/>
    <x v="1"/>
    <x v="20"/>
    <x v="0"/>
    <x v="0"/>
  </r>
  <r>
    <x v="29"/>
    <x v="29"/>
    <x v="1"/>
    <x v="1"/>
    <x v="6"/>
    <n v="0"/>
    <x v="3"/>
    <x v="3"/>
    <s v="No"/>
    <x v="2"/>
    <x v="0"/>
    <x v="0"/>
    <x v="21"/>
    <x v="0"/>
    <x v="1"/>
  </r>
  <r>
    <x v="30"/>
    <x v="30"/>
    <x v="0"/>
    <x v="1"/>
    <x v="6"/>
    <n v="2"/>
    <x v="1"/>
    <x v="3"/>
    <s v="Yes"/>
    <x v="0"/>
    <x v="0"/>
    <x v="0"/>
    <x v="18"/>
    <x v="1"/>
    <x v="0"/>
  </r>
  <r>
    <x v="31"/>
    <x v="31"/>
    <x v="0"/>
    <x v="1"/>
    <x v="4"/>
    <n v="0"/>
    <x v="1"/>
    <x v="3"/>
    <s v="No"/>
    <x v="1"/>
    <x v="0"/>
    <x v="1"/>
    <x v="22"/>
    <x v="2"/>
    <x v="1"/>
  </r>
  <r>
    <x v="32"/>
    <x v="32"/>
    <x v="1"/>
    <x v="1"/>
    <x v="6"/>
    <n v="0"/>
    <x v="2"/>
    <x v="3"/>
    <s v="No"/>
    <x v="1"/>
    <x v="2"/>
    <x v="0"/>
    <x v="23"/>
    <x v="0"/>
    <x v="0"/>
  </r>
  <r>
    <x v="33"/>
    <x v="33"/>
    <x v="1"/>
    <x v="1"/>
    <x v="2"/>
    <n v="2"/>
    <x v="2"/>
    <x v="0"/>
    <s v="No"/>
    <x v="2"/>
    <x v="3"/>
    <x v="1"/>
    <x v="5"/>
    <x v="0"/>
    <x v="1"/>
  </r>
  <r>
    <x v="34"/>
    <x v="34"/>
    <x v="1"/>
    <x v="1"/>
    <x v="8"/>
    <n v="5"/>
    <x v="1"/>
    <x v="2"/>
    <s v="No"/>
    <x v="2"/>
    <x v="1"/>
    <x v="0"/>
    <x v="24"/>
    <x v="1"/>
    <x v="1"/>
  </r>
  <r>
    <x v="35"/>
    <x v="35"/>
    <x v="1"/>
    <x v="1"/>
    <x v="4"/>
    <n v="5"/>
    <x v="3"/>
    <x v="3"/>
    <s v="No"/>
    <x v="2"/>
    <x v="0"/>
    <x v="0"/>
    <x v="3"/>
    <x v="0"/>
    <x v="0"/>
  </r>
  <r>
    <x v="36"/>
    <x v="36"/>
    <x v="0"/>
    <x v="1"/>
    <x v="4"/>
    <n v="2"/>
    <x v="1"/>
    <x v="3"/>
    <s v="Yes"/>
    <x v="1"/>
    <x v="0"/>
    <x v="0"/>
    <x v="5"/>
    <x v="0"/>
    <x v="1"/>
  </r>
  <r>
    <x v="37"/>
    <x v="37"/>
    <x v="1"/>
    <x v="1"/>
    <x v="1"/>
    <n v="0"/>
    <x v="1"/>
    <x v="1"/>
    <s v="No"/>
    <x v="1"/>
    <x v="1"/>
    <x v="0"/>
    <x v="25"/>
    <x v="2"/>
    <x v="0"/>
  </r>
  <r>
    <x v="38"/>
    <x v="38"/>
    <x v="1"/>
    <x v="1"/>
    <x v="6"/>
    <n v="0"/>
    <x v="2"/>
    <x v="3"/>
    <s v="No"/>
    <x v="1"/>
    <x v="1"/>
    <x v="0"/>
    <x v="26"/>
    <x v="2"/>
    <x v="0"/>
  </r>
  <r>
    <x v="39"/>
    <x v="39"/>
    <x v="1"/>
    <x v="1"/>
    <x v="4"/>
    <n v="4"/>
    <x v="3"/>
    <x v="3"/>
    <s v="Yes"/>
    <x v="2"/>
    <x v="0"/>
    <x v="0"/>
    <x v="8"/>
    <x v="0"/>
    <x v="1"/>
  </r>
  <r>
    <x v="40"/>
    <x v="40"/>
    <x v="1"/>
    <x v="1"/>
    <x v="1"/>
    <n v="2"/>
    <x v="1"/>
    <x v="1"/>
    <s v="No"/>
    <x v="0"/>
    <x v="0"/>
    <x v="0"/>
    <x v="1"/>
    <x v="0"/>
    <x v="0"/>
  </r>
  <r>
    <x v="41"/>
    <x v="41"/>
    <x v="1"/>
    <x v="0"/>
    <x v="0"/>
    <n v="2"/>
    <x v="0"/>
    <x v="4"/>
    <s v="Yes"/>
    <x v="2"/>
    <x v="2"/>
    <x v="1"/>
    <x v="27"/>
    <x v="1"/>
    <x v="1"/>
  </r>
  <r>
    <x v="42"/>
    <x v="42"/>
    <x v="0"/>
    <x v="0"/>
    <x v="4"/>
    <n v="1"/>
    <x v="4"/>
    <x v="3"/>
    <s v="Yes"/>
    <x v="0"/>
    <x v="0"/>
    <x v="0"/>
    <x v="8"/>
    <x v="0"/>
    <x v="0"/>
  </r>
  <r>
    <x v="43"/>
    <x v="43"/>
    <x v="0"/>
    <x v="0"/>
    <x v="9"/>
    <n v="4"/>
    <x v="1"/>
    <x v="2"/>
    <s v="No"/>
    <x v="4"/>
    <x v="2"/>
    <x v="0"/>
    <x v="28"/>
    <x v="0"/>
    <x v="1"/>
  </r>
  <r>
    <x v="44"/>
    <x v="44"/>
    <x v="0"/>
    <x v="0"/>
    <x v="6"/>
    <n v="3"/>
    <x v="2"/>
    <x v="3"/>
    <s v="Yes"/>
    <x v="0"/>
    <x v="0"/>
    <x v="0"/>
    <x v="3"/>
    <x v="0"/>
    <x v="1"/>
  </r>
  <r>
    <x v="45"/>
    <x v="45"/>
    <x v="0"/>
    <x v="0"/>
    <x v="6"/>
    <n v="1"/>
    <x v="0"/>
    <x v="1"/>
    <s v="Yes"/>
    <x v="0"/>
    <x v="0"/>
    <x v="0"/>
    <x v="29"/>
    <x v="1"/>
    <x v="1"/>
  </r>
  <r>
    <x v="46"/>
    <x v="46"/>
    <x v="0"/>
    <x v="0"/>
    <x v="10"/>
    <n v="1"/>
    <x v="1"/>
    <x v="0"/>
    <s v="Yes"/>
    <x v="1"/>
    <x v="2"/>
    <x v="1"/>
    <x v="30"/>
    <x v="0"/>
    <x v="1"/>
  </r>
  <r>
    <x v="47"/>
    <x v="47"/>
    <x v="1"/>
    <x v="0"/>
    <x v="0"/>
    <n v="2"/>
    <x v="1"/>
    <x v="0"/>
    <s v="Yes"/>
    <x v="2"/>
    <x v="2"/>
    <x v="1"/>
    <x v="31"/>
    <x v="0"/>
    <x v="1"/>
  </r>
  <r>
    <x v="48"/>
    <x v="48"/>
    <x v="0"/>
    <x v="0"/>
    <x v="1"/>
    <n v="2"/>
    <x v="1"/>
    <x v="1"/>
    <s v="No"/>
    <x v="2"/>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4A5CE6-0216-4227-8350-B8721D0B4561}"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H193:I209" firstHeaderRow="1" firstDataRow="1" firstDataCol="1"/>
  <pivotFields count="15">
    <pivotField showAll="0"/>
    <pivotField showAll="0"/>
    <pivotField showAll="0">
      <items count="3">
        <item x="0"/>
        <item x="1"/>
        <item t="default"/>
      </items>
    </pivotField>
    <pivotField showAll="0"/>
    <pivotField dataField="1" numFmtId="164"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pivotField showAll="0"/>
    <pivotField showAll="0">
      <items count="4">
        <item x="0"/>
        <item x="1"/>
        <item x="2"/>
        <item t="default"/>
      </items>
    </pivotField>
    <pivotField axis="axisRow" showAll="0" measureFilter="1">
      <items count="3">
        <item x="0"/>
        <item x="1"/>
        <item t="default"/>
      </items>
    </pivotField>
  </pivotFields>
  <rowFields count="2">
    <field x="7"/>
    <field x="14"/>
  </rowFields>
  <rowItems count="16">
    <i>
      <x/>
    </i>
    <i r="1">
      <x/>
    </i>
    <i r="1">
      <x v="1"/>
    </i>
    <i>
      <x v="1"/>
    </i>
    <i r="1">
      <x/>
    </i>
    <i r="1">
      <x v="1"/>
    </i>
    <i>
      <x v="2"/>
    </i>
    <i r="1">
      <x/>
    </i>
    <i r="1">
      <x v="1"/>
    </i>
    <i>
      <x v="3"/>
    </i>
    <i r="1">
      <x/>
    </i>
    <i r="1">
      <x v="1"/>
    </i>
    <i>
      <x v="4"/>
    </i>
    <i r="1">
      <x/>
    </i>
    <i r="1">
      <x v="1"/>
    </i>
    <i t="grand">
      <x/>
    </i>
  </rowItems>
  <colItems count="1">
    <i/>
  </colItems>
  <dataFields count="1">
    <dataField name="Sum of Income" fld="4" baseField="0" baseItem="0"/>
  </dataField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9102EF-DE52-4631-8F1B-C3EC26ADEF9E}"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168:J174" firstHeaderRow="1" firstDataRow="1" firstDataCol="1"/>
  <pivotFields count="15">
    <pivotField showAll="0"/>
    <pivotField showAll="0"/>
    <pivotField showAll="0"/>
    <pivotField showAll="0"/>
    <pivotField numFmtId="164" showAll="0"/>
    <pivotField dataField="1" showAll="0"/>
    <pivotField axis="axisRow" showAll="0">
      <items count="6">
        <item x="0"/>
        <item x="4"/>
        <item x="2"/>
        <item x="1"/>
        <item x="3"/>
        <item t="default"/>
      </items>
    </pivotField>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Children"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216286-21E8-4445-9D3F-CF033C2A3F6E}"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134:K161" firstHeaderRow="1" firstDataRow="1" firstDataCol="1"/>
  <pivotFields count="15">
    <pivotField showAll="0"/>
    <pivotField showAll="0">
      <items count="50">
        <item x="3"/>
        <item x="31"/>
        <item x="48"/>
        <item x="20"/>
        <item x="15"/>
        <item x="23"/>
        <item x="9"/>
        <item x="4"/>
        <item x="1"/>
        <item x="12"/>
        <item x="39"/>
        <item x="24"/>
        <item x="46"/>
        <item x="17"/>
        <item x="7"/>
        <item x="30"/>
        <item x="37"/>
        <item x="47"/>
        <item x="43"/>
        <item x="10"/>
        <item x="28"/>
        <item x="21"/>
        <item x="34"/>
        <item x="13"/>
        <item x="35"/>
        <item x="25"/>
        <item x="44"/>
        <item x="38"/>
        <item x="22"/>
        <item x="8"/>
        <item x="18"/>
        <item x="40"/>
        <item x="41"/>
        <item x="27"/>
        <item x="6"/>
        <item x="14"/>
        <item x="5"/>
        <item x="29"/>
        <item x="19"/>
        <item x="36"/>
        <item x="32"/>
        <item x="45"/>
        <item x="42"/>
        <item x="0"/>
        <item x="26"/>
        <item x="33"/>
        <item x="16"/>
        <item x="2"/>
        <item x="11"/>
        <item t="default"/>
      </items>
    </pivotField>
    <pivotField axis="axisRow" showAll="0">
      <items count="3">
        <item x="0"/>
        <item x="1"/>
        <item t="default"/>
      </items>
    </pivotField>
    <pivotField showAll="0"/>
    <pivotField numFmtId="164" showAll="0"/>
    <pivotField showAll="0"/>
    <pivotField showAll="0"/>
    <pivotField showAll="0"/>
    <pivotField showAll="0"/>
    <pivotField dataField="1" showAll="0"/>
    <pivotField axis="axisRow" showAll="0">
      <items count="6">
        <item x="0"/>
        <item x="3"/>
        <item x="1"/>
        <item x="2"/>
        <item x="4"/>
        <item t="default"/>
      </items>
    </pivotField>
    <pivotField showAll="0"/>
    <pivotField showAll="0"/>
    <pivotField showAll="0"/>
    <pivotField axis="axisRow" showAll="0">
      <items count="3">
        <item x="0"/>
        <item x="1"/>
        <item t="default"/>
      </items>
    </pivotField>
  </pivotFields>
  <rowFields count="3">
    <field x="2"/>
    <field x="10"/>
    <field x="14"/>
  </rowFields>
  <rowItems count="27">
    <i>
      <x/>
    </i>
    <i r="1">
      <x/>
    </i>
    <i r="2">
      <x/>
    </i>
    <i r="2">
      <x v="1"/>
    </i>
    <i r="1">
      <x v="1"/>
    </i>
    <i r="2">
      <x/>
    </i>
    <i r="2">
      <x v="1"/>
    </i>
    <i r="1">
      <x v="2"/>
    </i>
    <i r="2">
      <x/>
    </i>
    <i r="1">
      <x v="3"/>
    </i>
    <i r="2">
      <x/>
    </i>
    <i r="2">
      <x v="1"/>
    </i>
    <i>
      <x v="1"/>
    </i>
    <i r="1">
      <x/>
    </i>
    <i r="2">
      <x/>
    </i>
    <i r="2">
      <x v="1"/>
    </i>
    <i r="1">
      <x v="1"/>
    </i>
    <i r="2">
      <x v="1"/>
    </i>
    <i r="1">
      <x v="2"/>
    </i>
    <i r="2">
      <x/>
    </i>
    <i r="2">
      <x v="1"/>
    </i>
    <i r="1">
      <x v="3"/>
    </i>
    <i r="2">
      <x/>
    </i>
    <i r="2">
      <x v="1"/>
    </i>
    <i r="1">
      <x v="4"/>
    </i>
    <i r="2">
      <x/>
    </i>
    <i t="grand">
      <x/>
    </i>
  </rowItems>
  <colItems count="1">
    <i/>
  </colItems>
  <dataFields count="1">
    <dataField name="Sum of Cars" fld="9" baseField="0" baseItem="0"/>
  </dataFields>
  <chartFormats count="32">
    <chartFormat chart="0" format="0" series="1">
      <pivotArea type="data" outline="0" fieldPosition="0">
        <references count="1">
          <reference field="4294967294" count="1" selected="0">
            <x v="0"/>
          </reference>
        </references>
      </pivotArea>
    </chartFormat>
    <chartFormat chart="2" format="17" series="1">
      <pivotArea type="data" outline="0" fieldPosition="0">
        <references count="1">
          <reference field="4294967294" count="1" selected="0">
            <x v="0"/>
          </reference>
        </references>
      </pivotArea>
    </chartFormat>
    <chartFormat chart="2" format="18">
      <pivotArea type="data" outline="0" fieldPosition="0">
        <references count="4">
          <reference field="4294967294" count="1" selected="0">
            <x v="0"/>
          </reference>
          <reference field="2" count="1" selected="0">
            <x v="0"/>
          </reference>
          <reference field="10" count="1" selected="0">
            <x v="0"/>
          </reference>
          <reference field="14" count="1" selected="0">
            <x v="0"/>
          </reference>
        </references>
      </pivotArea>
    </chartFormat>
    <chartFormat chart="2" format="19">
      <pivotArea type="data" outline="0" fieldPosition="0">
        <references count="4">
          <reference field="4294967294" count="1" selected="0">
            <x v="0"/>
          </reference>
          <reference field="2" count="1" selected="0">
            <x v="0"/>
          </reference>
          <reference field="10" count="1" selected="0">
            <x v="0"/>
          </reference>
          <reference field="14" count="1" selected="0">
            <x v="1"/>
          </reference>
        </references>
      </pivotArea>
    </chartFormat>
    <chartFormat chart="2" format="20">
      <pivotArea type="data" outline="0" fieldPosition="0">
        <references count="4">
          <reference field="4294967294" count="1" selected="0">
            <x v="0"/>
          </reference>
          <reference field="2" count="1" selected="0">
            <x v="0"/>
          </reference>
          <reference field="10" count="1" selected="0">
            <x v="1"/>
          </reference>
          <reference field="14" count="1" selected="0">
            <x v="0"/>
          </reference>
        </references>
      </pivotArea>
    </chartFormat>
    <chartFormat chart="2" format="21">
      <pivotArea type="data" outline="0" fieldPosition="0">
        <references count="4">
          <reference field="4294967294" count="1" selected="0">
            <x v="0"/>
          </reference>
          <reference field="2" count="1" selected="0">
            <x v="0"/>
          </reference>
          <reference field="10" count="1" selected="0">
            <x v="1"/>
          </reference>
          <reference field="14" count="1" selected="0">
            <x v="1"/>
          </reference>
        </references>
      </pivotArea>
    </chartFormat>
    <chartFormat chart="2" format="22">
      <pivotArea type="data" outline="0" fieldPosition="0">
        <references count="4">
          <reference field="4294967294" count="1" selected="0">
            <x v="0"/>
          </reference>
          <reference field="2" count="1" selected="0">
            <x v="0"/>
          </reference>
          <reference field="10" count="1" selected="0">
            <x v="2"/>
          </reference>
          <reference field="14" count="1" selected="0">
            <x v="0"/>
          </reference>
        </references>
      </pivotArea>
    </chartFormat>
    <chartFormat chart="2" format="23">
      <pivotArea type="data" outline="0" fieldPosition="0">
        <references count="4">
          <reference field="4294967294" count="1" selected="0">
            <x v="0"/>
          </reference>
          <reference field="2" count="1" selected="0">
            <x v="0"/>
          </reference>
          <reference field="10" count="1" selected="0">
            <x v="3"/>
          </reference>
          <reference field="14" count="1" selected="0">
            <x v="0"/>
          </reference>
        </references>
      </pivotArea>
    </chartFormat>
    <chartFormat chart="2" format="24">
      <pivotArea type="data" outline="0" fieldPosition="0">
        <references count="4">
          <reference field="4294967294" count="1" selected="0">
            <x v="0"/>
          </reference>
          <reference field="2" count="1" selected="0">
            <x v="0"/>
          </reference>
          <reference field="10" count="1" selected="0">
            <x v="3"/>
          </reference>
          <reference field="14" count="1" selected="0">
            <x v="1"/>
          </reference>
        </references>
      </pivotArea>
    </chartFormat>
    <chartFormat chart="2" format="25">
      <pivotArea type="data" outline="0" fieldPosition="0">
        <references count="4">
          <reference field="4294967294" count="1" selected="0">
            <x v="0"/>
          </reference>
          <reference field="2" count="1" selected="0">
            <x v="1"/>
          </reference>
          <reference field="10" count="1" selected="0">
            <x v="0"/>
          </reference>
          <reference field="14" count="1" selected="0">
            <x v="0"/>
          </reference>
        </references>
      </pivotArea>
    </chartFormat>
    <chartFormat chart="2" format="26">
      <pivotArea type="data" outline="0" fieldPosition="0">
        <references count="4">
          <reference field="4294967294" count="1" selected="0">
            <x v="0"/>
          </reference>
          <reference field="2" count="1" selected="0">
            <x v="1"/>
          </reference>
          <reference field="10" count="1" selected="0">
            <x v="0"/>
          </reference>
          <reference field="14" count="1" selected="0">
            <x v="1"/>
          </reference>
        </references>
      </pivotArea>
    </chartFormat>
    <chartFormat chart="2" format="27">
      <pivotArea type="data" outline="0" fieldPosition="0">
        <references count="4">
          <reference field="4294967294" count="1" selected="0">
            <x v="0"/>
          </reference>
          <reference field="2" count="1" selected="0">
            <x v="1"/>
          </reference>
          <reference field="10" count="1" selected="0">
            <x v="1"/>
          </reference>
          <reference field="14" count="1" selected="0">
            <x v="1"/>
          </reference>
        </references>
      </pivotArea>
    </chartFormat>
    <chartFormat chart="2" format="28">
      <pivotArea type="data" outline="0" fieldPosition="0">
        <references count="4">
          <reference field="4294967294" count="1" selected="0">
            <x v="0"/>
          </reference>
          <reference field="2" count="1" selected="0">
            <x v="1"/>
          </reference>
          <reference field="10" count="1" selected="0">
            <x v="2"/>
          </reference>
          <reference field="14" count="1" selected="0">
            <x v="0"/>
          </reference>
        </references>
      </pivotArea>
    </chartFormat>
    <chartFormat chart="2" format="29">
      <pivotArea type="data" outline="0" fieldPosition="0">
        <references count="4">
          <reference field="4294967294" count="1" selected="0">
            <x v="0"/>
          </reference>
          <reference field="2" count="1" selected="0">
            <x v="1"/>
          </reference>
          <reference field="10" count="1" selected="0">
            <x v="2"/>
          </reference>
          <reference field="14" count="1" selected="0">
            <x v="1"/>
          </reference>
        </references>
      </pivotArea>
    </chartFormat>
    <chartFormat chart="2" format="30">
      <pivotArea type="data" outline="0" fieldPosition="0">
        <references count="4">
          <reference field="4294967294" count="1" selected="0">
            <x v="0"/>
          </reference>
          <reference field="2" count="1" selected="0">
            <x v="1"/>
          </reference>
          <reference field="10" count="1" selected="0">
            <x v="3"/>
          </reference>
          <reference field="14" count="1" selected="0">
            <x v="0"/>
          </reference>
        </references>
      </pivotArea>
    </chartFormat>
    <chartFormat chart="2" format="31">
      <pivotArea type="data" outline="0" fieldPosition="0">
        <references count="4">
          <reference field="4294967294" count="1" selected="0">
            <x v="0"/>
          </reference>
          <reference field="2" count="1" selected="0">
            <x v="1"/>
          </reference>
          <reference field="10" count="1" selected="0">
            <x v="3"/>
          </reference>
          <reference field="14" count="1" selected="0">
            <x v="1"/>
          </reference>
        </references>
      </pivotArea>
    </chartFormat>
    <chartFormat chart="2" format="32">
      <pivotArea type="data" outline="0" fieldPosition="0">
        <references count="4">
          <reference field="4294967294" count="1" selected="0">
            <x v="0"/>
          </reference>
          <reference field="2" count="1" selected="0">
            <x v="1"/>
          </reference>
          <reference field="10" count="1" selected="0">
            <x v="4"/>
          </reference>
          <reference field="14" count="1" selected="0">
            <x v="0"/>
          </reference>
        </references>
      </pivotArea>
    </chartFormat>
    <chartFormat chart="0" format="1">
      <pivotArea type="data" outline="0" fieldPosition="0">
        <references count="4">
          <reference field="4294967294" count="1" selected="0">
            <x v="0"/>
          </reference>
          <reference field="2" count="1" selected="0">
            <x v="0"/>
          </reference>
          <reference field="10" count="1" selected="0">
            <x v="0"/>
          </reference>
          <reference field="14" count="1" selected="0">
            <x v="0"/>
          </reference>
        </references>
      </pivotArea>
    </chartFormat>
    <chartFormat chart="0" format="2">
      <pivotArea type="data" outline="0" fieldPosition="0">
        <references count="4">
          <reference field="4294967294" count="1" selected="0">
            <x v="0"/>
          </reference>
          <reference field="2" count="1" selected="0">
            <x v="0"/>
          </reference>
          <reference field="10" count="1" selected="0">
            <x v="0"/>
          </reference>
          <reference field="14" count="1" selected="0">
            <x v="1"/>
          </reference>
        </references>
      </pivotArea>
    </chartFormat>
    <chartFormat chart="0" format="3">
      <pivotArea type="data" outline="0" fieldPosition="0">
        <references count="4">
          <reference field="4294967294" count="1" selected="0">
            <x v="0"/>
          </reference>
          <reference field="2" count="1" selected="0">
            <x v="0"/>
          </reference>
          <reference field="10" count="1" selected="0">
            <x v="1"/>
          </reference>
          <reference field="14" count="1" selected="0">
            <x v="0"/>
          </reference>
        </references>
      </pivotArea>
    </chartFormat>
    <chartFormat chart="0" format="4">
      <pivotArea type="data" outline="0" fieldPosition="0">
        <references count="4">
          <reference field="4294967294" count="1" selected="0">
            <x v="0"/>
          </reference>
          <reference field="2" count="1" selected="0">
            <x v="0"/>
          </reference>
          <reference field="10" count="1" selected="0">
            <x v="1"/>
          </reference>
          <reference field="14" count="1" selected="0">
            <x v="1"/>
          </reference>
        </references>
      </pivotArea>
    </chartFormat>
    <chartFormat chart="0" format="5">
      <pivotArea type="data" outline="0" fieldPosition="0">
        <references count="4">
          <reference field="4294967294" count="1" selected="0">
            <x v="0"/>
          </reference>
          <reference field="2" count="1" selected="0">
            <x v="0"/>
          </reference>
          <reference field="10" count="1" selected="0">
            <x v="2"/>
          </reference>
          <reference field="14" count="1" selected="0">
            <x v="0"/>
          </reference>
        </references>
      </pivotArea>
    </chartFormat>
    <chartFormat chart="0" format="6">
      <pivotArea type="data" outline="0" fieldPosition="0">
        <references count="4">
          <reference field="4294967294" count="1" selected="0">
            <x v="0"/>
          </reference>
          <reference field="2" count="1" selected="0">
            <x v="0"/>
          </reference>
          <reference field="10" count="1" selected="0">
            <x v="3"/>
          </reference>
          <reference field="14" count="1" selected="0">
            <x v="0"/>
          </reference>
        </references>
      </pivotArea>
    </chartFormat>
    <chartFormat chart="0" format="7">
      <pivotArea type="data" outline="0" fieldPosition="0">
        <references count="4">
          <reference field="4294967294" count="1" selected="0">
            <x v="0"/>
          </reference>
          <reference field="2" count="1" selected="0">
            <x v="0"/>
          </reference>
          <reference field="10" count="1" selected="0">
            <x v="3"/>
          </reference>
          <reference field="14" count="1" selected="0">
            <x v="1"/>
          </reference>
        </references>
      </pivotArea>
    </chartFormat>
    <chartFormat chart="0" format="8">
      <pivotArea type="data" outline="0" fieldPosition="0">
        <references count="4">
          <reference field="4294967294" count="1" selected="0">
            <x v="0"/>
          </reference>
          <reference field="2" count="1" selected="0">
            <x v="1"/>
          </reference>
          <reference field="10" count="1" selected="0">
            <x v="0"/>
          </reference>
          <reference field="14" count="1" selected="0">
            <x v="0"/>
          </reference>
        </references>
      </pivotArea>
    </chartFormat>
    <chartFormat chart="0" format="9">
      <pivotArea type="data" outline="0" fieldPosition="0">
        <references count="4">
          <reference field="4294967294" count="1" selected="0">
            <x v="0"/>
          </reference>
          <reference field="2" count="1" selected="0">
            <x v="1"/>
          </reference>
          <reference field="10" count="1" selected="0">
            <x v="0"/>
          </reference>
          <reference field="14" count="1" selected="0">
            <x v="1"/>
          </reference>
        </references>
      </pivotArea>
    </chartFormat>
    <chartFormat chart="0" format="10">
      <pivotArea type="data" outline="0" fieldPosition="0">
        <references count="4">
          <reference field="4294967294" count="1" selected="0">
            <x v="0"/>
          </reference>
          <reference field="2" count="1" selected="0">
            <x v="1"/>
          </reference>
          <reference field="10" count="1" selected="0">
            <x v="1"/>
          </reference>
          <reference field="14" count="1" selected="0">
            <x v="1"/>
          </reference>
        </references>
      </pivotArea>
    </chartFormat>
    <chartFormat chart="0" format="11">
      <pivotArea type="data" outline="0" fieldPosition="0">
        <references count="4">
          <reference field="4294967294" count="1" selected="0">
            <x v="0"/>
          </reference>
          <reference field="2" count="1" selected="0">
            <x v="1"/>
          </reference>
          <reference field="10" count="1" selected="0">
            <x v="2"/>
          </reference>
          <reference field="14" count="1" selected="0">
            <x v="0"/>
          </reference>
        </references>
      </pivotArea>
    </chartFormat>
    <chartFormat chart="0" format="12">
      <pivotArea type="data" outline="0" fieldPosition="0">
        <references count="4">
          <reference field="4294967294" count="1" selected="0">
            <x v="0"/>
          </reference>
          <reference field="2" count="1" selected="0">
            <x v="1"/>
          </reference>
          <reference field="10" count="1" selected="0">
            <x v="2"/>
          </reference>
          <reference field="14" count="1" selected="0">
            <x v="1"/>
          </reference>
        </references>
      </pivotArea>
    </chartFormat>
    <chartFormat chart="0" format="13">
      <pivotArea type="data" outline="0" fieldPosition="0">
        <references count="4">
          <reference field="4294967294" count="1" selected="0">
            <x v="0"/>
          </reference>
          <reference field="2" count="1" selected="0">
            <x v="1"/>
          </reference>
          <reference field="10" count="1" selected="0">
            <x v="3"/>
          </reference>
          <reference field="14" count="1" selected="0">
            <x v="0"/>
          </reference>
        </references>
      </pivotArea>
    </chartFormat>
    <chartFormat chart="0" format="14">
      <pivotArea type="data" outline="0" fieldPosition="0">
        <references count="4">
          <reference field="4294967294" count="1" selected="0">
            <x v="0"/>
          </reference>
          <reference field="2" count="1" selected="0">
            <x v="1"/>
          </reference>
          <reference field="10" count="1" selected="0">
            <x v="3"/>
          </reference>
          <reference field="14" count="1" selected="0">
            <x v="1"/>
          </reference>
        </references>
      </pivotArea>
    </chartFormat>
    <chartFormat chart="0" format="15">
      <pivotArea type="data" outline="0" fieldPosition="0">
        <references count="4">
          <reference field="4294967294" count="1" selected="0">
            <x v="0"/>
          </reference>
          <reference field="2" count="1" selected="0">
            <x v="1"/>
          </reference>
          <reference field="10" count="1" selected="0">
            <x v="4"/>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E04913-3EB7-4060-939E-B7058638373D}"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93:J94" firstHeaderRow="1" firstDataRow="1" firstDataCol="1"/>
  <pivotFields count="15">
    <pivotField showAll="0"/>
    <pivotField showAll="0">
      <items count="50">
        <item x="3"/>
        <item x="31"/>
        <item x="48"/>
        <item x="20"/>
        <item x="15"/>
        <item x="23"/>
        <item x="9"/>
        <item x="4"/>
        <item x="1"/>
        <item x="12"/>
        <item x="39"/>
        <item x="24"/>
        <item x="46"/>
        <item x="17"/>
        <item x="7"/>
        <item x="30"/>
        <item x="37"/>
        <item x="47"/>
        <item x="43"/>
        <item x="10"/>
        <item x="28"/>
        <item x="21"/>
        <item x="34"/>
        <item x="13"/>
        <item x="35"/>
        <item x="25"/>
        <item x="44"/>
        <item x="38"/>
        <item x="22"/>
        <item x="8"/>
        <item x="18"/>
        <item x="40"/>
        <item x="41"/>
        <item x="27"/>
        <item x="6"/>
        <item x="14"/>
        <item x="5"/>
        <item x="29"/>
        <item x="19"/>
        <item x="36"/>
        <item x="32"/>
        <item x="45"/>
        <item x="42"/>
        <item x="0"/>
        <item x="26"/>
        <item x="33"/>
        <item x="16"/>
        <item x="2"/>
        <item x="11"/>
        <item t="default"/>
      </items>
    </pivotField>
    <pivotField showAll="0"/>
    <pivotField showAll="0"/>
    <pivotField numFmtId="164" showAll="0"/>
    <pivotField showAll="0"/>
    <pivotField showAll="0"/>
    <pivotField showAll="0"/>
    <pivotField showAll="0"/>
    <pivotField showAll="0">
      <items count="6">
        <item x="0"/>
        <item x="1"/>
        <item x="2"/>
        <item x="4"/>
        <item x="3"/>
        <item t="default"/>
      </items>
    </pivotField>
    <pivotField showAll="0">
      <items count="6">
        <item h="1" x="0"/>
        <item h="1" x="3"/>
        <item h="1" x="1"/>
        <item h="1" x="2"/>
        <item x="4"/>
        <item t="default"/>
      </items>
    </pivotField>
    <pivotField showAll="0">
      <items count="3">
        <item x="0"/>
        <item x="1"/>
        <item t="default"/>
      </items>
    </pivotField>
    <pivotField dataField="1" showAll="0">
      <items count="33">
        <item x="22"/>
        <item x="26"/>
        <item x="19"/>
        <item x="25"/>
        <item x="23"/>
        <item x="21"/>
        <item x="6"/>
        <item x="17"/>
        <item x="11"/>
        <item x="4"/>
        <item x="13"/>
        <item x="8"/>
        <item x="3"/>
        <item x="0"/>
        <item x="1"/>
        <item x="20"/>
        <item x="12"/>
        <item x="30"/>
        <item x="15"/>
        <item x="28"/>
        <item x="5"/>
        <item x="31"/>
        <item x="9"/>
        <item x="10"/>
        <item x="16"/>
        <item x="7"/>
        <item x="14"/>
        <item x="2"/>
        <item x="24"/>
        <item x="18"/>
        <item x="27"/>
        <item x="29"/>
        <item t="default"/>
      </items>
    </pivotField>
    <pivotField axis="axisRow" showAll="0">
      <items count="4">
        <item h="1" x="0"/>
        <item x="1"/>
        <item h="1" x="2"/>
        <item t="default"/>
      </items>
    </pivotField>
    <pivotField axis="axisRow" showAll="0">
      <items count="3">
        <item x="0"/>
        <item x="1"/>
        <item t="default"/>
      </items>
    </pivotField>
  </pivotFields>
  <rowFields count="2">
    <field x="14"/>
    <field x="13"/>
  </rowFields>
  <rowItems count="1">
    <i t="grand">
      <x/>
    </i>
  </rowItems>
  <colItems count="1">
    <i/>
  </colItems>
  <dataFields count="1">
    <dataField name="Sum of Age"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0681B4-5FA4-4F15-B7F1-90E02C60BF78}"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55:J58" firstHeaderRow="1" firstDataRow="1" firstDataCol="1"/>
  <pivotFields count="15">
    <pivotField showAll="0">
      <items count="50">
        <item x="12"/>
        <item x="34"/>
        <item x="0"/>
        <item x="25"/>
        <item x="17"/>
        <item x="11"/>
        <item x="5"/>
        <item x="2"/>
        <item x="41"/>
        <item x="39"/>
        <item x="29"/>
        <item x="43"/>
        <item x="42"/>
        <item x="26"/>
        <item x="36"/>
        <item x="27"/>
        <item x="28"/>
        <item x="33"/>
        <item x="22"/>
        <item x="30"/>
        <item x="9"/>
        <item x="7"/>
        <item x="48"/>
        <item x="15"/>
        <item x="32"/>
        <item x="21"/>
        <item x="8"/>
        <item x="10"/>
        <item x="31"/>
        <item x="16"/>
        <item x="14"/>
        <item x="45"/>
        <item x="1"/>
        <item x="3"/>
        <item x="46"/>
        <item x="13"/>
        <item x="4"/>
        <item x="20"/>
        <item x="19"/>
        <item x="23"/>
        <item x="38"/>
        <item x="18"/>
        <item x="24"/>
        <item x="40"/>
        <item x="37"/>
        <item x="6"/>
        <item x="35"/>
        <item x="47"/>
        <item x="44"/>
        <item t="default"/>
      </items>
    </pivotField>
    <pivotField showAll="0">
      <items count="50">
        <item x="3"/>
        <item x="31"/>
        <item x="48"/>
        <item x="20"/>
        <item x="15"/>
        <item x="23"/>
        <item x="9"/>
        <item x="4"/>
        <item x="1"/>
        <item x="12"/>
        <item x="39"/>
        <item x="24"/>
        <item x="46"/>
        <item x="17"/>
        <item x="7"/>
        <item x="30"/>
        <item x="37"/>
        <item x="47"/>
        <item x="43"/>
        <item x="10"/>
        <item x="28"/>
        <item x="21"/>
        <item x="34"/>
        <item x="13"/>
        <item x="35"/>
        <item x="25"/>
        <item x="44"/>
        <item x="38"/>
        <item x="22"/>
        <item x="8"/>
        <item x="18"/>
        <item x="40"/>
        <item x="41"/>
        <item x="27"/>
        <item x="6"/>
        <item x="14"/>
        <item x="5"/>
        <item x="29"/>
        <item x="19"/>
        <item x="36"/>
        <item x="32"/>
        <item x="45"/>
        <item x="42"/>
        <item x="0"/>
        <item x="26"/>
        <item x="33"/>
        <item x="16"/>
        <item x="2"/>
        <item x="11"/>
        <item t="default"/>
      </items>
    </pivotField>
    <pivotField showAll="0"/>
    <pivotField axis="axisRow" showAll="0">
      <items count="3">
        <item x="1"/>
        <item x="0"/>
        <item t="default"/>
      </items>
    </pivotField>
    <pivotField dataField="1" numFmtId="164" showAll="0">
      <items count="13">
        <item h="1" x="4"/>
        <item x="6"/>
        <item h="1" x="1"/>
        <item h="1" x="0"/>
        <item h="1" x="10"/>
        <item h="1" x="3"/>
        <item h="1" x="2"/>
        <item h="1" x="8"/>
        <item h="1" x="11"/>
        <item h="1" x="7"/>
        <item h="1" x="5"/>
        <item h="1" x="9"/>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Sum of Income"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 xr10:uid="{EEF02B69-37D4-4633-BC13-7943D6A936FC}" sourceName="ID">
  <pivotTables>
    <pivotTable tabId="1" name="PivotTable7"/>
  </pivotTables>
  <data>
    <tabular pivotCacheId="822455780">
      <items count="49">
        <i x="29" s="1"/>
        <i x="30" s="1"/>
        <i x="32" s="1"/>
        <i x="8" s="1"/>
        <i x="45" s="1"/>
        <i x="19" s="1"/>
        <i x="38" s="1"/>
        <i x="44" s="1"/>
        <i x="12" s="1" nd="1"/>
        <i x="34" s="1" nd="1"/>
        <i x="0" s="1" nd="1"/>
        <i x="25" s="1" nd="1"/>
        <i x="17" s="1" nd="1"/>
        <i x="11" s="1" nd="1"/>
        <i x="5" s="1" nd="1"/>
        <i x="2" s="1" nd="1"/>
        <i x="41" s="1" nd="1"/>
        <i x="39" s="1" nd="1"/>
        <i x="43" s="1" nd="1"/>
        <i x="42" s="1" nd="1"/>
        <i x="26" s="1" nd="1"/>
        <i x="36" s="1" nd="1"/>
        <i x="27" s="1" nd="1"/>
        <i x="28" s="1" nd="1"/>
        <i x="33" s="1" nd="1"/>
        <i x="22" s="1" nd="1"/>
        <i x="9" s="1" nd="1"/>
        <i x="7" s="1" nd="1"/>
        <i x="48" s="1" nd="1"/>
        <i x="15" s="1" nd="1"/>
        <i x="21" s="1" nd="1"/>
        <i x="10" s="1" nd="1"/>
        <i x="31" s="1" nd="1"/>
        <i x="16" s="1" nd="1"/>
        <i x="14" s="1" nd="1"/>
        <i x="1" s="1" nd="1"/>
        <i x="3" s="1" nd="1"/>
        <i x="46" s="1" nd="1"/>
        <i x="13" s="1" nd="1"/>
        <i x="4" s="1" nd="1"/>
        <i x="20" s="1" nd="1"/>
        <i x="23" s="1" nd="1"/>
        <i x="18" s="1" nd="1"/>
        <i x="24" s="1" nd="1"/>
        <i x="40" s="1" nd="1"/>
        <i x="37" s="1" nd="1"/>
        <i x="6" s="1" nd="1"/>
        <i x="35" s="1" nd="1"/>
        <i x="4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DB079390-D2E7-4CF6-90A7-5EBD963F2927}" sourceName="Name">
  <pivotTables>
    <pivotTable tabId="1" name="PivotTable7"/>
  </pivotTables>
  <data>
    <tabular pivotCacheId="822455780">
      <items count="49">
        <i x="30" s="1"/>
        <i x="44" s="1"/>
        <i x="38" s="1"/>
        <i x="8" s="1"/>
        <i x="29" s="1"/>
        <i x="19" s="1"/>
        <i x="32" s="1"/>
        <i x="45" s="1"/>
        <i x="3" s="1" nd="1"/>
        <i x="31" s="1" nd="1"/>
        <i x="48" s="1" nd="1"/>
        <i x="20" s="1" nd="1"/>
        <i x="15" s="1" nd="1"/>
        <i x="23" s="1" nd="1"/>
        <i x="9" s="1" nd="1"/>
        <i x="4" s="1" nd="1"/>
        <i x="1" s="1" nd="1"/>
        <i x="12" s="1" nd="1"/>
        <i x="39" s="1" nd="1"/>
        <i x="24" s="1" nd="1"/>
        <i x="46" s="1" nd="1"/>
        <i x="17" s="1" nd="1"/>
        <i x="7" s="1" nd="1"/>
        <i x="37" s="1" nd="1"/>
        <i x="47" s="1" nd="1"/>
        <i x="43" s="1" nd="1"/>
        <i x="10" s="1" nd="1"/>
        <i x="28" s="1" nd="1"/>
        <i x="21" s="1" nd="1"/>
        <i x="34" s="1" nd="1"/>
        <i x="13" s="1" nd="1"/>
        <i x="35" s="1" nd="1"/>
        <i x="25" s="1" nd="1"/>
        <i x="22" s="1" nd="1"/>
        <i x="18" s="1" nd="1"/>
        <i x="40" s="1" nd="1"/>
        <i x="41" s="1" nd="1"/>
        <i x="27" s="1" nd="1"/>
        <i x="6" s="1" nd="1"/>
        <i x="14" s="1" nd="1"/>
        <i x="5" s="1" nd="1"/>
        <i x="36" s="1" nd="1"/>
        <i x="42" s="1" nd="1"/>
        <i x="0" s="1" nd="1"/>
        <i x="26" s="1" nd="1"/>
        <i x="33" s="1" nd="1"/>
        <i x="16" s="1" nd="1"/>
        <i x="2" s="1" nd="1"/>
        <i x="1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EC6E11F-F2D0-4B3B-A764-082A4D28F069}" sourceName="Gender">
  <pivotTables>
    <pivotTable tabId="1" name="PivotTable7"/>
  </pivotTables>
  <data>
    <tabular pivotCacheId="82245578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A6B6FF06-4089-4F5A-A1AD-786173CA8C6F}" sourceName="Income">
  <pivotTables>
    <pivotTable tabId="1" name="PivotTable7"/>
  </pivotTables>
  <data>
    <tabular pivotCacheId="822455780">
      <items count="12">
        <i x="4"/>
        <i x="6" s="1"/>
        <i x="1"/>
        <i x="0"/>
        <i x="10"/>
        <i x="3"/>
        <i x="2"/>
        <i x="8"/>
        <i x="11"/>
        <i x="7"/>
        <i x="5"/>
        <i x="9"/>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A99DBD26-30AB-48C4-810A-A95C803CBFC1}" sourceName="Cars">
  <pivotTables>
    <pivotTable tabId="1" name="PivotTable8"/>
  </pivotTables>
  <data>
    <tabular pivotCacheId="822455780">
      <items count="5">
        <i x="0" s="1" nd="1"/>
        <i x="1" s="1" nd="1"/>
        <i x="2" s="1" nd="1"/>
        <i x="4" s="1" nd="1"/>
        <i x="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DDB081A6-8EC8-42B1-924A-EAAFD603D062}" sourceName="Commute Distance">
  <pivotTables>
    <pivotTable tabId="1" name="PivotTable8"/>
  </pivotTables>
  <data>
    <tabular pivotCacheId="822455780">
      <items count="5">
        <i x="0"/>
        <i x="3"/>
        <i x="1"/>
        <i x="2"/>
        <i x="4"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7D6F88-6602-4EB3-9185-DBCBD3664AF1}" sourceName="Region">
  <pivotTables>
    <pivotTable tabId="1" name="PivotTable8"/>
  </pivotTables>
  <data>
    <tabular pivotCacheId="822455780">
      <items count="2">
        <i x="0" s="1" nd="1"/>
        <i x="1"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1DADEA5E-25F8-4308-9C91-6445F542A047}" sourceName="Age">
  <pivotTables>
    <pivotTable tabId="1" name="PivotTable8"/>
  </pivotTables>
  <data>
    <tabular pivotCacheId="822455780">
      <items count="32">
        <i x="22" s="1" nd="1"/>
        <i x="26" s="1" nd="1"/>
        <i x="19" s="1" nd="1"/>
        <i x="25" s="1" nd="1"/>
        <i x="23" s="1" nd="1"/>
        <i x="21" s="1" nd="1"/>
        <i x="6" s="1" nd="1"/>
        <i x="17" s="1" nd="1"/>
        <i x="11" s="1" nd="1"/>
        <i x="4" s="1" nd="1"/>
        <i x="13" s="1" nd="1"/>
        <i x="8" s="1" nd="1"/>
        <i x="3" s="1" nd="1"/>
        <i x="0" s="1" nd="1"/>
        <i x="1" s="1" nd="1"/>
        <i x="20" s="1" nd="1"/>
        <i x="12" s="1" nd="1"/>
        <i x="30" s="1" nd="1"/>
        <i x="15" s="1" nd="1"/>
        <i x="28" s="1" nd="1"/>
        <i x="5" s="1" nd="1"/>
        <i x="31" s="1" nd="1"/>
        <i x="9" s="1" nd="1"/>
        <i x="10" s="1" nd="1"/>
        <i x="16" s="1" nd="1"/>
        <i x="7" s="1" nd="1"/>
        <i x="14" s="1" nd="1"/>
        <i x="2" s="1" nd="1"/>
        <i x="24" s="1" nd="1"/>
        <i x="18" s="1" nd="1"/>
        <i x="27" s="1" nd="1"/>
        <i x="29"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ucket" xr10:uid="{52693557-6801-4131-BAC2-E93592C51FF9}" sourceName="Age Bucket">
  <pivotTables>
    <pivotTable tabId="1" name="PivotTable8"/>
  </pivotTables>
  <data>
    <tabular pivotCacheId="822455780">
      <items count="3">
        <i x="0"/>
        <i x="1" s="1" nd="1"/>
        <i x="2"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61E3CD5E-0E4B-4E80-A8E4-D1FBF3C7CE47}" sourceName="Purchased Bike">
  <pivotTables>
    <pivotTable tabId="1" name="PivotTable8"/>
  </pivotTables>
  <data>
    <tabular pivotCacheId="822455780">
      <items count="2">
        <i x="0"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D" xr10:uid="{9BAA4570-5AC9-4976-9795-01AE335E1A5D}" cache="Slicer_ID" caption="ID" rowHeight="241300"/>
  <slicer name="Name" xr10:uid="{6D5CA454-EDB8-474C-BC89-981D4E506E14}" cache="Slicer_Name" caption="Name" rowHeight="241300"/>
  <slicer name="Gender" xr10:uid="{E39DD305-7A6D-4C60-9CF3-DC89E6C66E33}" cache="Slicer_Gender" caption="Gender" rowHeight="241300"/>
  <slicer name="Income" xr10:uid="{BB520B28-1B6E-423C-9901-CB4214EDB830}" cache="Slicer_Income" caption="Income" rowHeight="241300"/>
  <slicer name="Cars" xr10:uid="{52737B4C-DD5C-45A8-B6E8-7F730643F184}" cache="Slicer_Cars" caption="Cars" rowHeight="241300"/>
  <slicer name="Commute Distance" xr10:uid="{445BDAEA-568F-4D8F-B5D0-DCBE301A9A79}" cache="Slicer_Commute_Distance" caption="Commute Distance" rowHeight="241300"/>
  <slicer name="Region" xr10:uid="{16910833-B38E-46B5-AF37-4920CDD56967}" cache="Slicer_Region" caption="Region" rowHeight="241300"/>
  <slicer name="Age" xr10:uid="{28E63B6F-0D42-4DFD-A188-4618554A73F3}" cache="Slicer_Age" caption="Age" rowHeight="241300"/>
  <slicer name="Age Bucket" xr10:uid="{AC84AE49-822D-4E09-A1A7-96D831F0EB2C}" cache="Slicer_Age_Bucket" caption="Age Bucket" rowHeight="241300"/>
  <slicer name="Purchased Bike" xr10:uid="{BF9CABBE-0DCA-4846-9760-6935883E41CF}" cache="Slicer_Purchased_Bike" caption="Purchased Bik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69F1022-D626-4AF5-9ACF-F971E6F30851}" cache="Slicer_Gender" caption="Gender" rowHeight="241300"/>
  <slicer name="Commute Distance 1" xr10:uid="{95BB18E8-BF71-43EC-8E7D-8A357313160D}" cache="Slicer_Commute_Distance" caption="Commute Distance" rowHeight="241300"/>
  <slicer name="Age Bucket 1" xr10:uid="{5E9EB609-978B-4CE7-8DB0-7EDED921A7D2}" cache="Slicer_Age_Bucket" caption="Age Bucket" rowHeight="241300"/>
  <slicer name="Age Bucket 2" xr10:uid="{CA65A068-808F-4B2A-A024-8BBD797DE3D9}" cache="Slicer_Age_Bucket" caption="Age Bucke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1C279-4A38-4319-90FE-8A90A93A152E}">
  <dimension ref="A1:O209"/>
  <sheetViews>
    <sheetView workbookViewId="0">
      <selection activeCell="E13" sqref="E13"/>
    </sheetView>
  </sheetViews>
  <sheetFormatPr defaultRowHeight="15" x14ac:dyDescent="0.25"/>
  <cols>
    <col min="1" max="1" width="12.28515625" customWidth="1"/>
    <col min="2" max="2" width="17.42578125" customWidth="1"/>
    <col min="3" max="3" width="14" customWidth="1"/>
    <col min="4" max="4" width="12.7109375" customWidth="1"/>
    <col min="5" max="5" width="13.28515625" customWidth="1"/>
    <col min="6" max="6" width="10" customWidth="1"/>
    <col min="7" max="7" width="17.28515625" customWidth="1"/>
    <col min="8" max="8" width="16.140625" bestFit="1" customWidth="1"/>
    <col min="9" max="9" width="13.140625" bestFit="1" customWidth="1"/>
    <col min="10" max="10" width="14.28515625" bestFit="1" customWidth="1"/>
    <col min="11" max="11" width="11.28515625" bestFit="1" customWidth="1"/>
    <col min="12" max="12" width="11" bestFit="1" customWidth="1"/>
    <col min="13" max="13" width="15.28515625" bestFit="1" customWidth="1"/>
    <col min="14" max="14" width="13.42578125" customWidth="1"/>
    <col min="15" max="15" width="14.140625" customWidth="1"/>
  </cols>
  <sheetData>
    <row r="1" spans="1:15" x14ac:dyDescent="0.25">
      <c r="A1" t="s">
        <v>0</v>
      </c>
      <c r="B1" t="s">
        <v>41</v>
      </c>
      <c r="C1" t="s">
        <v>1</v>
      </c>
      <c r="D1" t="s">
        <v>2</v>
      </c>
      <c r="E1" s="1" t="s">
        <v>3</v>
      </c>
      <c r="F1" t="s">
        <v>4</v>
      </c>
      <c r="G1" t="s">
        <v>5</v>
      </c>
      <c r="H1" t="s">
        <v>6</v>
      </c>
      <c r="I1" t="s">
        <v>7</v>
      </c>
      <c r="J1" t="s">
        <v>8</v>
      </c>
      <c r="K1" t="s">
        <v>9</v>
      </c>
      <c r="L1" t="s">
        <v>10</v>
      </c>
      <c r="M1" t="s">
        <v>11</v>
      </c>
      <c r="N1" t="s">
        <v>12</v>
      </c>
      <c r="O1" t="s">
        <v>13</v>
      </c>
    </row>
    <row r="2" spans="1:15" x14ac:dyDescent="0.25">
      <c r="A2">
        <v>12496</v>
      </c>
      <c r="B2" t="s">
        <v>44</v>
      </c>
      <c r="C2" t="s">
        <v>14</v>
      </c>
      <c r="D2" t="s">
        <v>22</v>
      </c>
      <c r="E2" s="1">
        <v>40000</v>
      </c>
      <c r="F2">
        <v>1</v>
      </c>
      <c r="G2" t="s">
        <v>16</v>
      </c>
      <c r="H2" t="s">
        <v>17</v>
      </c>
      <c r="I2" t="s">
        <v>18</v>
      </c>
      <c r="J2">
        <v>0</v>
      </c>
      <c r="K2" t="s">
        <v>19</v>
      </c>
      <c r="L2" t="s">
        <v>20</v>
      </c>
      <c r="M2">
        <v>42</v>
      </c>
      <c r="N2" t="str">
        <f>IF(M2&gt;55,"Old",IF(M2&gt;=31,"Middle Age",IF(M2&lt;31,"Youngster","Invalid")))</f>
        <v>Middle Age</v>
      </c>
      <c r="O2" t="s">
        <v>21</v>
      </c>
    </row>
    <row r="3" spans="1:15" x14ac:dyDescent="0.25">
      <c r="A3">
        <v>24107</v>
      </c>
      <c r="B3" t="s">
        <v>45</v>
      </c>
      <c r="C3" t="s">
        <v>14</v>
      </c>
      <c r="D3" t="s">
        <v>22</v>
      </c>
      <c r="E3" s="1">
        <v>30000</v>
      </c>
      <c r="F3">
        <v>3</v>
      </c>
      <c r="G3" t="s">
        <v>23</v>
      </c>
      <c r="H3" t="s">
        <v>24</v>
      </c>
      <c r="I3" t="s">
        <v>18</v>
      </c>
      <c r="J3">
        <v>1</v>
      </c>
      <c r="K3" t="s">
        <v>19</v>
      </c>
      <c r="L3" t="s">
        <v>20</v>
      </c>
      <c r="M3">
        <v>43</v>
      </c>
      <c r="N3" t="str">
        <f t="shared" ref="N3:N50" si="0">IF(M3&gt;55,"Old",IF(M3&gt;=31,"Middle Age",IF(M3&lt;31,"Youngster","Invalid")))</f>
        <v>Middle Age</v>
      </c>
      <c r="O3" t="s">
        <v>21</v>
      </c>
    </row>
    <row r="4" spans="1:15" x14ac:dyDescent="0.25">
      <c r="A4">
        <v>14177</v>
      </c>
      <c r="B4" t="s">
        <v>46</v>
      </c>
      <c r="C4" t="s">
        <v>14</v>
      </c>
      <c r="D4" t="s">
        <v>22</v>
      </c>
      <c r="E4" s="1">
        <v>80000</v>
      </c>
      <c r="F4">
        <v>5</v>
      </c>
      <c r="G4" t="s">
        <v>23</v>
      </c>
      <c r="H4" t="s">
        <v>25</v>
      </c>
      <c r="I4" t="s">
        <v>21</v>
      </c>
      <c r="J4">
        <v>2</v>
      </c>
      <c r="K4" t="s">
        <v>26</v>
      </c>
      <c r="L4" t="s">
        <v>20</v>
      </c>
      <c r="M4">
        <v>60</v>
      </c>
      <c r="N4" t="str">
        <f t="shared" si="0"/>
        <v>Old</v>
      </c>
      <c r="O4" t="s">
        <v>21</v>
      </c>
    </row>
    <row r="5" spans="1:15" x14ac:dyDescent="0.25">
      <c r="A5">
        <v>24381</v>
      </c>
      <c r="B5" t="s">
        <v>47</v>
      </c>
      <c r="C5" t="s">
        <v>27</v>
      </c>
      <c r="D5" t="s">
        <v>22</v>
      </c>
      <c r="E5" s="1">
        <v>70000</v>
      </c>
      <c r="F5">
        <v>0</v>
      </c>
      <c r="G5" t="s">
        <v>16</v>
      </c>
      <c r="H5" t="s">
        <v>25</v>
      </c>
      <c r="I5" t="s">
        <v>18</v>
      </c>
      <c r="J5">
        <v>1</v>
      </c>
      <c r="K5" t="s">
        <v>28</v>
      </c>
      <c r="L5" t="s">
        <v>29</v>
      </c>
      <c r="M5">
        <v>41</v>
      </c>
      <c r="N5" t="str">
        <f t="shared" si="0"/>
        <v>Middle Age</v>
      </c>
      <c r="O5" t="s">
        <v>18</v>
      </c>
    </row>
    <row r="6" spans="1:15" x14ac:dyDescent="0.25">
      <c r="A6">
        <v>25597</v>
      </c>
      <c r="B6" t="s">
        <v>48</v>
      </c>
      <c r="C6" t="s">
        <v>27</v>
      </c>
      <c r="D6" t="s">
        <v>22</v>
      </c>
      <c r="E6" s="1">
        <v>30000</v>
      </c>
      <c r="F6">
        <v>0</v>
      </c>
      <c r="G6" t="s">
        <v>16</v>
      </c>
      <c r="H6" t="s">
        <v>24</v>
      </c>
      <c r="I6" t="s">
        <v>21</v>
      </c>
      <c r="J6">
        <v>0</v>
      </c>
      <c r="K6" t="s">
        <v>19</v>
      </c>
      <c r="L6" t="s">
        <v>20</v>
      </c>
      <c r="M6">
        <v>36</v>
      </c>
      <c r="N6" t="str">
        <f t="shared" si="0"/>
        <v>Middle Age</v>
      </c>
      <c r="O6" t="s">
        <v>18</v>
      </c>
    </row>
    <row r="7" spans="1:15" x14ac:dyDescent="0.25">
      <c r="A7">
        <v>13507</v>
      </c>
      <c r="B7" t="s">
        <v>49</v>
      </c>
      <c r="C7" t="s">
        <v>14</v>
      </c>
      <c r="D7" t="s">
        <v>22</v>
      </c>
      <c r="E7" s="1">
        <v>10000</v>
      </c>
      <c r="F7">
        <v>2</v>
      </c>
      <c r="G7" t="s">
        <v>23</v>
      </c>
      <c r="H7" t="s">
        <v>30</v>
      </c>
      <c r="I7" t="s">
        <v>18</v>
      </c>
      <c r="J7">
        <v>0</v>
      </c>
      <c r="K7" t="s">
        <v>31</v>
      </c>
      <c r="L7" t="s">
        <v>20</v>
      </c>
      <c r="M7">
        <v>50</v>
      </c>
      <c r="N7" t="str">
        <f t="shared" si="0"/>
        <v>Middle Age</v>
      </c>
      <c r="O7" t="s">
        <v>21</v>
      </c>
    </row>
    <row r="8" spans="1:15" x14ac:dyDescent="0.25">
      <c r="A8">
        <v>27974</v>
      </c>
      <c r="B8" t="s">
        <v>50</v>
      </c>
      <c r="C8" t="s">
        <v>27</v>
      </c>
      <c r="D8" t="s">
        <v>22</v>
      </c>
      <c r="E8" s="1">
        <v>160000</v>
      </c>
      <c r="F8">
        <v>2</v>
      </c>
      <c r="G8" t="s">
        <v>32</v>
      </c>
      <c r="H8" t="s">
        <v>33</v>
      </c>
      <c r="I8" t="s">
        <v>18</v>
      </c>
      <c r="J8">
        <v>4</v>
      </c>
      <c r="K8" t="s">
        <v>19</v>
      </c>
      <c r="L8" t="s">
        <v>29</v>
      </c>
      <c r="M8">
        <v>33</v>
      </c>
      <c r="N8" t="str">
        <f t="shared" si="0"/>
        <v>Middle Age</v>
      </c>
      <c r="O8" t="s">
        <v>18</v>
      </c>
    </row>
    <row r="9" spans="1:15" x14ac:dyDescent="0.25">
      <c r="A9">
        <v>19364</v>
      </c>
      <c r="B9" t="s">
        <v>51</v>
      </c>
      <c r="C9" t="s">
        <v>14</v>
      </c>
      <c r="D9" t="s">
        <v>22</v>
      </c>
      <c r="E9" s="1">
        <v>40000</v>
      </c>
      <c r="F9">
        <v>1</v>
      </c>
      <c r="G9" t="s">
        <v>16</v>
      </c>
      <c r="H9" t="s">
        <v>17</v>
      </c>
      <c r="I9" t="s">
        <v>18</v>
      </c>
      <c r="J9">
        <v>0</v>
      </c>
      <c r="K9" t="s">
        <v>19</v>
      </c>
      <c r="L9" t="s">
        <v>20</v>
      </c>
      <c r="M9">
        <v>43</v>
      </c>
      <c r="N9" t="str">
        <f t="shared" si="0"/>
        <v>Middle Age</v>
      </c>
      <c r="O9" t="s">
        <v>18</v>
      </c>
    </row>
    <row r="10" spans="1:15" x14ac:dyDescent="0.25">
      <c r="A10">
        <v>22155</v>
      </c>
      <c r="B10" t="s">
        <v>52</v>
      </c>
      <c r="C10" t="s">
        <v>14</v>
      </c>
      <c r="D10" t="s">
        <v>22</v>
      </c>
      <c r="E10" s="1">
        <v>20000</v>
      </c>
      <c r="F10">
        <v>2</v>
      </c>
      <c r="G10" t="s">
        <v>34</v>
      </c>
      <c r="H10" t="s">
        <v>24</v>
      </c>
      <c r="I10" t="s">
        <v>18</v>
      </c>
      <c r="J10">
        <v>2</v>
      </c>
      <c r="K10" t="s">
        <v>28</v>
      </c>
      <c r="L10" t="s">
        <v>29</v>
      </c>
      <c r="M10">
        <v>58</v>
      </c>
      <c r="N10" t="str">
        <f t="shared" si="0"/>
        <v>Old</v>
      </c>
      <c r="O10" t="s">
        <v>21</v>
      </c>
    </row>
    <row r="11" spans="1:15" x14ac:dyDescent="0.25">
      <c r="A11">
        <v>19280</v>
      </c>
      <c r="B11" t="s">
        <v>53</v>
      </c>
      <c r="C11" t="s">
        <v>14</v>
      </c>
      <c r="D11" t="s">
        <v>22</v>
      </c>
      <c r="E11" s="1">
        <v>120000</v>
      </c>
      <c r="F11">
        <v>2</v>
      </c>
      <c r="G11" t="s">
        <v>23</v>
      </c>
      <c r="H11" t="s">
        <v>30</v>
      </c>
      <c r="I11" t="s">
        <v>18</v>
      </c>
      <c r="J11">
        <v>1</v>
      </c>
      <c r="K11" t="s">
        <v>19</v>
      </c>
      <c r="L11" t="s">
        <v>20</v>
      </c>
      <c r="M11">
        <v>40</v>
      </c>
      <c r="N11" t="str">
        <f t="shared" si="0"/>
        <v>Middle Age</v>
      </c>
      <c r="O11" t="s">
        <v>18</v>
      </c>
    </row>
    <row r="12" spans="1:15" x14ac:dyDescent="0.25">
      <c r="A12">
        <v>22173</v>
      </c>
      <c r="B12" t="s">
        <v>54</v>
      </c>
      <c r="C12" t="s">
        <v>14</v>
      </c>
      <c r="D12" t="s">
        <v>22</v>
      </c>
      <c r="E12" s="1">
        <v>30000</v>
      </c>
      <c r="F12">
        <v>3</v>
      </c>
      <c r="G12" t="s">
        <v>32</v>
      </c>
      <c r="H12" t="s">
        <v>17</v>
      </c>
      <c r="I12" t="s">
        <v>21</v>
      </c>
      <c r="J12">
        <v>2</v>
      </c>
      <c r="K12" t="s">
        <v>31</v>
      </c>
      <c r="L12" t="s">
        <v>29</v>
      </c>
      <c r="M12">
        <v>54</v>
      </c>
      <c r="N12" t="str">
        <f t="shared" si="0"/>
        <v>Middle Age</v>
      </c>
      <c r="O12" t="s">
        <v>18</v>
      </c>
    </row>
    <row r="13" spans="1:15" x14ac:dyDescent="0.25">
      <c r="A13">
        <v>12697</v>
      </c>
      <c r="B13" t="s">
        <v>55</v>
      </c>
      <c r="C13" t="s">
        <v>27</v>
      </c>
      <c r="D13" t="s">
        <v>15</v>
      </c>
      <c r="E13" s="1">
        <v>90000</v>
      </c>
      <c r="F13">
        <v>0</v>
      </c>
      <c r="G13" t="s">
        <v>16</v>
      </c>
      <c r="H13" t="s">
        <v>25</v>
      </c>
      <c r="I13" t="s">
        <v>21</v>
      </c>
      <c r="J13">
        <v>4</v>
      </c>
      <c r="K13" t="s">
        <v>35</v>
      </c>
      <c r="L13" t="s">
        <v>29</v>
      </c>
      <c r="M13">
        <v>36</v>
      </c>
      <c r="N13" t="str">
        <f t="shared" si="0"/>
        <v>Middle Age</v>
      </c>
      <c r="O13" t="s">
        <v>21</v>
      </c>
    </row>
    <row r="14" spans="1:15" x14ac:dyDescent="0.25">
      <c r="A14">
        <v>11434</v>
      </c>
      <c r="B14" t="s">
        <v>56</v>
      </c>
      <c r="C14" t="s">
        <v>14</v>
      </c>
      <c r="D14" t="s">
        <v>22</v>
      </c>
      <c r="E14" s="1">
        <v>170000</v>
      </c>
      <c r="F14">
        <v>5</v>
      </c>
      <c r="G14" t="s">
        <v>23</v>
      </c>
      <c r="H14" t="s">
        <v>25</v>
      </c>
      <c r="I14" t="s">
        <v>18</v>
      </c>
      <c r="J14">
        <v>0</v>
      </c>
      <c r="K14" t="s">
        <v>19</v>
      </c>
      <c r="L14" t="s">
        <v>20</v>
      </c>
      <c r="M14">
        <v>55</v>
      </c>
      <c r="N14" t="str">
        <f t="shared" si="0"/>
        <v>Middle Age</v>
      </c>
      <c r="O14" t="s">
        <v>21</v>
      </c>
    </row>
    <row r="15" spans="1:15" x14ac:dyDescent="0.25">
      <c r="A15">
        <v>25323</v>
      </c>
      <c r="B15" t="s">
        <v>57</v>
      </c>
      <c r="C15" t="s">
        <v>14</v>
      </c>
      <c r="D15" t="s">
        <v>22</v>
      </c>
      <c r="E15" s="1">
        <v>40000</v>
      </c>
      <c r="F15">
        <v>2</v>
      </c>
      <c r="G15" t="s">
        <v>23</v>
      </c>
      <c r="H15" t="s">
        <v>24</v>
      </c>
      <c r="I15" t="s">
        <v>18</v>
      </c>
      <c r="J15">
        <v>1</v>
      </c>
      <c r="K15" t="s">
        <v>31</v>
      </c>
      <c r="L15" t="s">
        <v>20</v>
      </c>
      <c r="M15">
        <v>35</v>
      </c>
      <c r="N15" t="str">
        <f t="shared" si="0"/>
        <v>Middle Age</v>
      </c>
      <c r="O15" t="s">
        <v>18</v>
      </c>
    </row>
    <row r="16" spans="1:15" x14ac:dyDescent="0.25">
      <c r="A16">
        <v>23542</v>
      </c>
      <c r="B16" t="s">
        <v>58</v>
      </c>
      <c r="C16" t="s">
        <v>27</v>
      </c>
      <c r="D16" t="s">
        <v>22</v>
      </c>
      <c r="E16" s="1">
        <v>60000</v>
      </c>
      <c r="F16">
        <v>1</v>
      </c>
      <c r="G16" t="s">
        <v>23</v>
      </c>
      <c r="H16" t="s">
        <v>17</v>
      </c>
      <c r="I16" t="s">
        <v>21</v>
      </c>
      <c r="J16">
        <v>1</v>
      </c>
      <c r="K16" t="s">
        <v>19</v>
      </c>
      <c r="L16" t="s">
        <v>29</v>
      </c>
      <c r="M16">
        <v>45</v>
      </c>
      <c r="N16" t="str">
        <f t="shared" si="0"/>
        <v>Middle Age</v>
      </c>
      <c r="O16" t="s">
        <v>18</v>
      </c>
    </row>
    <row r="17" spans="1:15" x14ac:dyDescent="0.25">
      <c r="A17">
        <v>20870</v>
      </c>
      <c r="B17" t="s">
        <v>59</v>
      </c>
      <c r="C17" t="s">
        <v>27</v>
      </c>
      <c r="D17" t="s">
        <v>22</v>
      </c>
      <c r="E17" s="1">
        <v>10000</v>
      </c>
      <c r="F17">
        <v>2</v>
      </c>
      <c r="G17" t="s">
        <v>32</v>
      </c>
      <c r="H17" t="s">
        <v>30</v>
      </c>
      <c r="I17" t="s">
        <v>18</v>
      </c>
      <c r="J17">
        <v>1</v>
      </c>
      <c r="K17" t="s">
        <v>19</v>
      </c>
      <c r="L17" t="s">
        <v>20</v>
      </c>
      <c r="M17">
        <v>38</v>
      </c>
      <c r="N17" t="str">
        <f t="shared" si="0"/>
        <v>Middle Age</v>
      </c>
      <c r="O17" t="s">
        <v>18</v>
      </c>
    </row>
    <row r="18" spans="1:15" x14ac:dyDescent="0.25">
      <c r="A18">
        <v>23316</v>
      </c>
      <c r="B18" t="s">
        <v>60</v>
      </c>
      <c r="C18" t="s">
        <v>27</v>
      </c>
      <c r="D18" t="s">
        <v>22</v>
      </c>
      <c r="E18" s="1">
        <v>30000</v>
      </c>
      <c r="F18">
        <v>3</v>
      </c>
      <c r="G18" t="s">
        <v>23</v>
      </c>
      <c r="H18" t="s">
        <v>24</v>
      </c>
      <c r="I18" t="s">
        <v>21</v>
      </c>
      <c r="J18">
        <v>2</v>
      </c>
      <c r="K18" t="s">
        <v>31</v>
      </c>
      <c r="L18" t="s">
        <v>29</v>
      </c>
      <c r="M18">
        <v>59</v>
      </c>
      <c r="N18" t="str">
        <f t="shared" si="0"/>
        <v>Old</v>
      </c>
      <c r="O18" t="s">
        <v>18</v>
      </c>
    </row>
    <row r="19" spans="1:15" x14ac:dyDescent="0.25">
      <c r="A19">
        <v>12610</v>
      </c>
      <c r="B19" t="s">
        <v>62</v>
      </c>
      <c r="C19" t="s">
        <v>14</v>
      </c>
      <c r="D19" t="s">
        <v>22</v>
      </c>
      <c r="E19" s="1">
        <v>30000</v>
      </c>
      <c r="F19">
        <v>1</v>
      </c>
      <c r="G19" t="s">
        <v>16</v>
      </c>
      <c r="H19" t="s">
        <v>24</v>
      </c>
      <c r="I19" t="s">
        <v>18</v>
      </c>
      <c r="J19">
        <v>0</v>
      </c>
      <c r="K19" t="s">
        <v>19</v>
      </c>
      <c r="L19" t="s">
        <v>20</v>
      </c>
      <c r="M19">
        <v>47</v>
      </c>
      <c r="N19" t="str">
        <f t="shared" si="0"/>
        <v>Middle Age</v>
      </c>
      <c r="O19" t="s">
        <v>21</v>
      </c>
    </row>
    <row r="20" spans="1:15" x14ac:dyDescent="0.25">
      <c r="A20">
        <v>27183</v>
      </c>
      <c r="B20" t="s">
        <v>61</v>
      </c>
      <c r="C20" t="s">
        <v>27</v>
      </c>
      <c r="D20" t="s">
        <v>22</v>
      </c>
      <c r="E20" s="1">
        <v>40000</v>
      </c>
      <c r="F20">
        <v>2</v>
      </c>
      <c r="G20" t="s">
        <v>23</v>
      </c>
      <c r="H20" t="s">
        <v>24</v>
      </c>
      <c r="I20" t="s">
        <v>18</v>
      </c>
      <c r="J20">
        <v>1</v>
      </c>
      <c r="K20" t="s">
        <v>31</v>
      </c>
      <c r="L20" t="s">
        <v>20</v>
      </c>
      <c r="M20">
        <v>35</v>
      </c>
      <c r="N20" t="str">
        <f t="shared" si="0"/>
        <v>Middle Age</v>
      </c>
      <c r="O20" t="s">
        <v>18</v>
      </c>
    </row>
    <row r="21" spans="1:15" x14ac:dyDescent="0.25">
      <c r="A21">
        <v>25940</v>
      </c>
      <c r="B21" t="s">
        <v>63</v>
      </c>
      <c r="C21" t="s">
        <v>27</v>
      </c>
      <c r="D21" t="s">
        <v>22</v>
      </c>
      <c r="E21" s="1">
        <v>20000</v>
      </c>
      <c r="F21">
        <v>2</v>
      </c>
      <c r="G21" t="s">
        <v>34</v>
      </c>
      <c r="H21" t="s">
        <v>24</v>
      </c>
      <c r="I21" t="s">
        <v>18</v>
      </c>
      <c r="J21">
        <v>2</v>
      </c>
      <c r="K21" t="s">
        <v>28</v>
      </c>
      <c r="L21" t="s">
        <v>29</v>
      </c>
      <c r="M21">
        <v>55</v>
      </c>
      <c r="N21" t="str">
        <f t="shared" si="0"/>
        <v>Middle Age</v>
      </c>
      <c r="O21" t="s">
        <v>18</v>
      </c>
    </row>
    <row r="22" spans="1:15" x14ac:dyDescent="0.25">
      <c r="A22">
        <v>25598</v>
      </c>
      <c r="B22" t="s">
        <v>64</v>
      </c>
      <c r="C22" t="s">
        <v>14</v>
      </c>
      <c r="D22" t="s">
        <v>22</v>
      </c>
      <c r="E22" s="1">
        <v>40000</v>
      </c>
      <c r="F22">
        <v>0</v>
      </c>
      <c r="G22" t="s">
        <v>36</v>
      </c>
      <c r="H22" t="s">
        <v>24</v>
      </c>
      <c r="I22" t="s">
        <v>18</v>
      </c>
      <c r="J22">
        <v>0</v>
      </c>
      <c r="K22" t="s">
        <v>19</v>
      </c>
      <c r="L22" t="s">
        <v>20</v>
      </c>
      <c r="M22">
        <v>36</v>
      </c>
      <c r="N22" t="str">
        <f t="shared" si="0"/>
        <v>Middle Age</v>
      </c>
      <c r="O22" t="s">
        <v>18</v>
      </c>
    </row>
    <row r="23" spans="1:15" x14ac:dyDescent="0.25">
      <c r="A23">
        <v>21564</v>
      </c>
      <c r="B23" t="s">
        <v>65</v>
      </c>
      <c r="C23" t="s">
        <v>27</v>
      </c>
      <c r="D23" t="s">
        <v>15</v>
      </c>
      <c r="E23" s="1">
        <v>80000</v>
      </c>
      <c r="F23">
        <v>0</v>
      </c>
      <c r="G23" t="s">
        <v>16</v>
      </c>
      <c r="H23" t="s">
        <v>25</v>
      </c>
      <c r="I23" t="s">
        <v>18</v>
      </c>
      <c r="J23">
        <v>4</v>
      </c>
      <c r="K23" t="s">
        <v>35</v>
      </c>
      <c r="L23" t="s">
        <v>29</v>
      </c>
      <c r="M23">
        <v>35</v>
      </c>
      <c r="N23" t="str">
        <f t="shared" si="0"/>
        <v>Middle Age</v>
      </c>
      <c r="O23" t="s">
        <v>21</v>
      </c>
    </row>
    <row r="24" spans="1:15" x14ac:dyDescent="0.25">
      <c r="A24">
        <v>19193</v>
      </c>
      <c r="B24" t="s">
        <v>66</v>
      </c>
      <c r="C24" t="s">
        <v>27</v>
      </c>
      <c r="D24" t="s">
        <v>22</v>
      </c>
      <c r="E24" s="1">
        <v>40000</v>
      </c>
      <c r="F24">
        <v>2</v>
      </c>
      <c r="G24" t="s">
        <v>23</v>
      </c>
      <c r="H24" t="s">
        <v>24</v>
      </c>
      <c r="I24" t="s">
        <v>18</v>
      </c>
      <c r="J24">
        <v>0</v>
      </c>
      <c r="K24" t="s">
        <v>31</v>
      </c>
      <c r="L24" t="s">
        <v>20</v>
      </c>
      <c r="M24">
        <v>35</v>
      </c>
      <c r="N24" t="str">
        <f t="shared" si="0"/>
        <v>Middle Age</v>
      </c>
      <c r="O24" t="s">
        <v>18</v>
      </c>
    </row>
    <row r="25" spans="1:15" x14ac:dyDescent="0.25">
      <c r="A25">
        <v>26412</v>
      </c>
      <c r="B25" t="s">
        <v>67</v>
      </c>
      <c r="C25" t="s">
        <v>14</v>
      </c>
      <c r="D25" t="s">
        <v>22</v>
      </c>
      <c r="E25" s="1">
        <v>80000</v>
      </c>
      <c r="F25">
        <v>5</v>
      </c>
      <c r="G25" t="s">
        <v>32</v>
      </c>
      <c r="H25" t="s">
        <v>33</v>
      </c>
      <c r="I25" t="s">
        <v>21</v>
      </c>
      <c r="J25">
        <v>3</v>
      </c>
      <c r="K25" t="s">
        <v>28</v>
      </c>
      <c r="L25" t="s">
        <v>20</v>
      </c>
      <c r="M25">
        <v>56</v>
      </c>
      <c r="N25" t="str">
        <f t="shared" si="0"/>
        <v>Old</v>
      </c>
      <c r="O25" t="s">
        <v>21</v>
      </c>
    </row>
    <row r="26" spans="1:15" x14ac:dyDescent="0.25">
      <c r="A26">
        <v>27184</v>
      </c>
      <c r="B26" t="s">
        <v>68</v>
      </c>
      <c r="C26" t="s">
        <v>27</v>
      </c>
      <c r="D26" t="s">
        <v>22</v>
      </c>
      <c r="E26" s="1">
        <v>40000</v>
      </c>
      <c r="F26">
        <v>2</v>
      </c>
      <c r="G26" t="s">
        <v>23</v>
      </c>
      <c r="H26" t="s">
        <v>24</v>
      </c>
      <c r="I26" t="s">
        <v>21</v>
      </c>
      <c r="J26">
        <v>1</v>
      </c>
      <c r="K26" t="s">
        <v>19</v>
      </c>
      <c r="L26" t="s">
        <v>20</v>
      </c>
      <c r="M26">
        <v>34</v>
      </c>
      <c r="N26" t="str">
        <f t="shared" si="0"/>
        <v>Middle Age</v>
      </c>
      <c r="O26" t="s">
        <v>21</v>
      </c>
    </row>
    <row r="27" spans="1:15" x14ac:dyDescent="0.25">
      <c r="A27">
        <v>12590</v>
      </c>
      <c r="B27" t="s">
        <v>69</v>
      </c>
      <c r="C27" t="s">
        <v>27</v>
      </c>
      <c r="D27" t="s">
        <v>15</v>
      </c>
      <c r="E27" s="1">
        <v>30000</v>
      </c>
      <c r="F27">
        <v>1</v>
      </c>
      <c r="G27" t="s">
        <v>16</v>
      </c>
      <c r="H27" t="s">
        <v>24</v>
      </c>
      <c r="I27" t="s">
        <v>18</v>
      </c>
      <c r="J27">
        <v>0</v>
      </c>
      <c r="K27" t="s">
        <v>19</v>
      </c>
      <c r="L27" t="s">
        <v>20</v>
      </c>
      <c r="M27">
        <v>63</v>
      </c>
      <c r="N27" t="str">
        <f t="shared" si="0"/>
        <v>Old</v>
      </c>
      <c r="O27" t="s">
        <v>21</v>
      </c>
    </row>
    <row r="28" spans="1:15" x14ac:dyDescent="0.25">
      <c r="A28">
        <v>17841</v>
      </c>
      <c r="B28" t="s">
        <v>70</v>
      </c>
      <c r="C28" t="s">
        <v>27</v>
      </c>
      <c r="D28" t="s">
        <v>22</v>
      </c>
      <c r="E28" s="1">
        <v>30000</v>
      </c>
      <c r="F28">
        <v>0</v>
      </c>
      <c r="G28" t="s">
        <v>23</v>
      </c>
      <c r="H28" t="s">
        <v>24</v>
      </c>
      <c r="I28" t="s">
        <v>21</v>
      </c>
      <c r="J28">
        <v>1</v>
      </c>
      <c r="K28" t="s">
        <v>19</v>
      </c>
      <c r="L28" t="s">
        <v>20</v>
      </c>
      <c r="M28">
        <v>29</v>
      </c>
      <c r="N28" t="str">
        <f t="shared" si="0"/>
        <v>Youngster</v>
      </c>
      <c r="O28" t="s">
        <v>18</v>
      </c>
    </row>
    <row r="29" spans="1:15" x14ac:dyDescent="0.25">
      <c r="A29">
        <v>18283</v>
      </c>
      <c r="B29" t="s">
        <v>71</v>
      </c>
      <c r="C29" t="s">
        <v>27</v>
      </c>
      <c r="D29" t="s">
        <v>15</v>
      </c>
      <c r="E29" s="1">
        <v>100000</v>
      </c>
      <c r="F29">
        <v>0</v>
      </c>
      <c r="G29" t="s">
        <v>16</v>
      </c>
      <c r="H29" t="s">
        <v>25</v>
      </c>
      <c r="I29" t="s">
        <v>21</v>
      </c>
      <c r="J29">
        <v>1</v>
      </c>
      <c r="K29" t="s">
        <v>28</v>
      </c>
      <c r="L29" t="s">
        <v>29</v>
      </c>
      <c r="M29">
        <v>40</v>
      </c>
      <c r="N29" t="str">
        <f t="shared" si="0"/>
        <v>Middle Age</v>
      </c>
      <c r="O29" t="s">
        <v>21</v>
      </c>
    </row>
    <row r="30" spans="1:15" x14ac:dyDescent="0.25">
      <c r="A30">
        <v>18299</v>
      </c>
      <c r="B30" t="s">
        <v>72</v>
      </c>
      <c r="C30" t="s">
        <v>14</v>
      </c>
      <c r="D30" t="s">
        <v>15</v>
      </c>
      <c r="E30" s="1">
        <v>70000</v>
      </c>
      <c r="F30">
        <v>5</v>
      </c>
      <c r="G30" t="s">
        <v>23</v>
      </c>
      <c r="H30" t="s">
        <v>17</v>
      </c>
      <c r="I30" t="s">
        <v>18</v>
      </c>
      <c r="J30">
        <v>2</v>
      </c>
      <c r="K30" t="s">
        <v>28</v>
      </c>
      <c r="L30" t="s">
        <v>29</v>
      </c>
      <c r="M30">
        <v>44</v>
      </c>
      <c r="N30" t="str">
        <f t="shared" si="0"/>
        <v>Middle Age</v>
      </c>
      <c r="O30" t="s">
        <v>21</v>
      </c>
    </row>
    <row r="31" spans="1:15" x14ac:dyDescent="0.25">
      <c r="A31">
        <v>16466</v>
      </c>
      <c r="B31" t="s">
        <v>73</v>
      </c>
      <c r="C31" t="s">
        <v>27</v>
      </c>
      <c r="D31" t="s">
        <v>15</v>
      </c>
      <c r="E31" s="1">
        <v>20000</v>
      </c>
      <c r="F31">
        <v>0</v>
      </c>
      <c r="G31" t="s">
        <v>34</v>
      </c>
      <c r="H31" t="s">
        <v>30</v>
      </c>
      <c r="I31" t="s">
        <v>21</v>
      </c>
      <c r="J31">
        <v>2</v>
      </c>
      <c r="K31" t="s">
        <v>19</v>
      </c>
      <c r="L31" t="s">
        <v>20</v>
      </c>
      <c r="M31">
        <v>32</v>
      </c>
      <c r="N31" t="str">
        <f t="shared" si="0"/>
        <v>Middle Age</v>
      </c>
      <c r="O31" t="s">
        <v>18</v>
      </c>
    </row>
    <row r="32" spans="1:15" x14ac:dyDescent="0.25">
      <c r="A32">
        <v>19273</v>
      </c>
      <c r="B32" t="s">
        <v>74</v>
      </c>
      <c r="C32" t="s">
        <v>14</v>
      </c>
      <c r="D32" t="s">
        <v>15</v>
      </c>
      <c r="E32" s="1">
        <v>20000</v>
      </c>
      <c r="F32">
        <v>2</v>
      </c>
      <c r="G32" t="s">
        <v>23</v>
      </c>
      <c r="H32" t="s">
        <v>30</v>
      </c>
      <c r="I32" t="s">
        <v>18</v>
      </c>
      <c r="J32">
        <v>0</v>
      </c>
      <c r="K32" t="s">
        <v>19</v>
      </c>
      <c r="L32" t="s">
        <v>20</v>
      </c>
      <c r="M32">
        <v>63</v>
      </c>
      <c r="N32" t="str">
        <f t="shared" si="0"/>
        <v>Old</v>
      </c>
      <c r="O32" t="s">
        <v>21</v>
      </c>
    </row>
    <row r="33" spans="1:15" x14ac:dyDescent="0.25">
      <c r="A33">
        <v>22400</v>
      </c>
      <c r="B33" t="s">
        <v>75</v>
      </c>
      <c r="C33" t="s">
        <v>14</v>
      </c>
      <c r="D33" t="s">
        <v>15</v>
      </c>
      <c r="E33" s="1">
        <v>10000</v>
      </c>
      <c r="F33">
        <v>0</v>
      </c>
      <c r="G33" t="s">
        <v>23</v>
      </c>
      <c r="H33" t="s">
        <v>30</v>
      </c>
      <c r="I33" t="s">
        <v>21</v>
      </c>
      <c r="J33">
        <v>1</v>
      </c>
      <c r="K33" t="s">
        <v>19</v>
      </c>
      <c r="L33" t="s">
        <v>29</v>
      </c>
      <c r="M33">
        <v>26</v>
      </c>
      <c r="N33" t="str">
        <f t="shared" si="0"/>
        <v>Youngster</v>
      </c>
      <c r="O33" t="s">
        <v>18</v>
      </c>
    </row>
    <row r="34" spans="1:15" x14ac:dyDescent="0.25">
      <c r="A34">
        <v>20942</v>
      </c>
      <c r="B34" t="s">
        <v>76</v>
      </c>
      <c r="C34" t="s">
        <v>27</v>
      </c>
      <c r="D34" t="s">
        <v>15</v>
      </c>
      <c r="E34" s="1">
        <v>20000</v>
      </c>
      <c r="F34">
        <v>0</v>
      </c>
      <c r="G34" t="s">
        <v>32</v>
      </c>
      <c r="H34" t="s">
        <v>30</v>
      </c>
      <c r="I34" t="s">
        <v>21</v>
      </c>
      <c r="J34">
        <v>1</v>
      </c>
      <c r="K34" t="s">
        <v>28</v>
      </c>
      <c r="L34" t="s">
        <v>20</v>
      </c>
      <c r="M34">
        <v>31</v>
      </c>
      <c r="N34" t="str">
        <f t="shared" si="0"/>
        <v>Middle Age</v>
      </c>
      <c r="O34" t="s">
        <v>21</v>
      </c>
    </row>
    <row r="35" spans="1:15" x14ac:dyDescent="0.25">
      <c r="A35">
        <v>18484</v>
      </c>
      <c r="B35" t="s">
        <v>77</v>
      </c>
      <c r="C35" t="s">
        <v>27</v>
      </c>
      <c r="D35" t="s">
        <v>15</v>
      </c>
      <c r="E35" s="1">
        <v>80000</v>
      </c>
      <c r="F35">
        <v>2</v>
      </c>
      <c r="G35" t="s">
        <v>32</v>
      </c>
      <c r="H35" t="s">
        <v>17</v>
      </c>
      <c r="I35" t="s">
        <v>21</v>
      </c>
      <c r="J35">
        <v>2</v>
      </c>
      <c r="K35" t="s">
        <v>31</v>
      </c>
      <c r="L35" t="s">
        <v>29</v>
      </c>
      <c r="M35">
        <v>50</v>
      </c>
      <c r="N35" t="str">
        <f t="shared" si="0"/>
        <v>Middle Age</v>
      </c>
      <c r="O35" t="s">
        <v>18</v>
      </c>
    </row>
    <row r="36" spans="1:15" x14ac:dyDescent="0.25">
      <c r="A36">
        <v>12291</v>
      </c>
      <c r="B36" t="s">
        <v>78</v>
      </c>
      <c r="C36" t="s">
        <v>27</v>
      </c>
      <c r="D36" t="s">
        <v>15</v>
      </c>
      <c r="E36" s="1">
        <v>90000</v>
      </c>
      <c r="F36">
        <v>5</v>
      </c>
      <c r="G36" t="s">
        <v>23</v>
      </c>
      <c r="H36" t="s">
        <v>25</v>
      </c>
      <c r="I36" t="s">
        <v>21</v>
      </c>
      <c r="J36">
        <v>2</v>
      </c>
      <c r="K36" t="s">
        <v>26</v>
      </c>
      <c r="L36" t="s">
        <v>20</v>
      </c>
      <c r="M36">
        <v>62</v>
      </c>
      <c r="N36" t="str">
        <f t="shared" si="0"/>
        <v>Old</v>
      </c>
      <c r="O36" t="s">
        <v>18</v>
      </c>
    </row>
    <row r="37" spans="1:15" x14ac:dyDescent="0.25">
      <c r="A37">
        <v>28380</v>
      </c>
      <c r="B37" t="s">
        <v>79</v>
      </c>
      <c r="C37" t="s">
        <v>27</v>
      </c>
      <c r="D37" t="s">
        <v>15</v>
      </c>
      <c r="E37" s="1">
        <v>10000</v>
      </c>
      <c r="F37">
        <v>5</v>
      </c>
      <c r="G37" t="s">
        <v>34</v>
      </c>
      <c r="H37" t="s">
        <v>30</v>
      </c>
      <c r="I37" t="s">
        <v>21</v>
      </c>
      <c r="J37">
        <v>2</v>
      </c>
      <c r="K37" t="s">
        <v>19</v>
      </c>
      <c r="L37" t="s">
        <v>20</v>
      </c>
      <c r="M37">
        <v>41</v>
      </c>
      <c r="N37" t="str">
        <f t="shared" si="0"/>
        <v>Middle Age</v>
      </c>
      <c r="O37" t="s">
        <v>21</v>
      </c>
    </row>
    <row r="38" spans="1:15" x14ac:dyDescent="0.25">
      <c r="A38">
        <v>17891</v>
      </c>
      <c r="B38" t="s">
        <v>81</v>
      </c>
      <c r="C38" t="s">
        <v>14</v>
      </c>
      <c r="D38" t="s">
        <v>15</v>
      </c>
      <c r="E38" s="1">
        <v>10000</v>
      </c>
      <c r="F38">
        <v>2</v>
      </c>
      <c r="G38" t="s">
        <v>23</v>
      </c>
      <c r="H38" t="s">
        <v>30</v>
      </c>
      <c r="I38" t="s">
        <v>18</v>
      </c>
      <c r="J38">
        <v>1</v>
      </c>
      <c r="K38" t="s">
        <v>19</v>
      </c>
      <c r="L38" t="s">
        <v>20</v>
      </c>
      <c r="M38">
        <v>50</v>
      </c>
      <c r="N38" t="str">
        <f t="shared" si="0"/>
        <v>Middle Age</v>
      </c>
      <c r="O38" t="s">
        <v>18</v>
      </c>
    </row>
    <row r="39" spans="1:15" x14ac:dyDescent="0.25">
      <c r="A39">
        <v>27832</v>
      </c>
      <c r="B39" t="s">
        <v>80</v>
      </c>
      <c r="C39" t="s">
        <v>27</v>
      </c>
      <c r="D39" t="s">
        <v>15</v>
      </c>
      <c r="E39" s="1">
        <v>30000</v>
      </c>
      <c r="F39">
        <v>0</v>
      </c>
      <c r="G39" t="s">
        <v>23</v>
      </c>
      <c r="H39" t="s">
        <v>24</v>
      </c>
      <c r="I39" t="s">
        <v>21</v>
      </c>
      <c r="J39">
        <v>1</v>
      </c>
      <c r="K39" t="s">
        <v>26</v>
      </c>
      <c r="L39" t="s">
        <v>20</v>
      </c>
      <c r="M39">
        <v>30</v>
      </c>
      <c r="N39" t="str">
        <f t="shared" si="0"/>
        <v>Youngster</v>
      </c>
      <c r="O39" t="s">
        <v>21</v>
      </c>
    </row>
    <row r="40" spans="1:15" x14ac:dyDescent="0.25">
      <c r="A40">
        <v>26863</v>
      </c>
      <c r="B40" t="s">
        <v>82</v>
      </c>
      <c r="C40" t="s">
        <v>27</v>
      </c>
      <c r="D40" t="s">
        <v>15</v>
      </c>
      <c r="E40" s="1">
        <v>20000</v>
      </c>
      <c r="F40">
        <v>0</v>
      </c>
      <c r="G40" t="s">
        <v>32</v>
      </c>
      <c r="H40" t="s">
        <v>30</v>
      </c>
      <c r="I40" t="s">
        <v>21</v>
      </c>
      <c r="J40">
        <v>1</v>
      </c>
      <c r="K40" t="s">
        <v>26</v>
      </c>
      <c r="L40" t="s">
        <v>20</v>
      </c>
      <c r="M40">
        <v>28</v>
      </c>
      <c r="N40" t="str">
        <f t="shared" si="0"/>
        <v>Youngster</v>
      </c>
      <c r="O40" t="s">
        <v>21</v>
      </c>
    </row>
    <row r="41" spans="1:15" x14ac:dyDescent="0.25">
      <c r="A41">
        <v>16259</v>
      </c>
      <c r="B41" t="s">
        <v>83</v>
      </c>
      <c r="C41" t="s">
        <v>27</v>
      </c>
      <c r="D41" t="s">
        <v>15</v>
      </c>
      <c r="E41" s="1">
        <v>10000</v>
      </c>
      <c r="F41">
        <v>4</v>
      </c>
      <c r="G41" t="s">
        <v>34</v>
      </c>
      <c r="H41" t="s">
        <v>30</v>
      </c>
      <c r="I41" t="s">
        <v>18</v>
      </c>
      <c r="J41">
        <v>2</v>
      </c>
      <c r="K41" t="s">
        <v>19</v>
      </c>
      <c r="L41" t="s">
        <v>20</v>
      </c>
      <c r="M41">
        <v>40</v>
      </c>
      <c r="N41" t="str">
        <f t="shared" si="0"/>
        <v>Middle Age</v>
      </c>
      <c r="O41" t="s">
        <v>18</v>
      </c>
    </row>
    <row r="42" spans="1:15" x14ac:dyDescent="0.25">
      <c r="A42">
        <v>27803</v>
      </c>
      <c r="B42" t="s">
        <v>84</v>
      </c>
      <c r="C42" t="s">
        <v>27</v>
      </c>
      <c r="D42" t="s">
        <v>15</v>
      </c>
      <c r="E42" s="1">
        <v>30000</v>
      </c>
      <c r="F42">
        <v>2</v>
      </c>
      <c r="G42" t="s">
        <v>23</v>
      </c>
      <c r="H42" t="s">
        <v>24</v>
      </c>
      <c r="I42" t="s">
        <v>21</v>
      </c>
      <c r="J42">
        <v>0</v>
      </c>
      <c r="K42" t="s">
        <v>19</v>
      </c>
      <c r="L42" t="s">
        <v>20</v>
      </c>
      <c r="M42">
        <v>43</v>
      </c>
      <c r="N42" t="str">
        <f t="shared" si="0"/>
        <v>Middle Age</v>
      </c>
      <c r="O42" t="s">
        <v>21</v>
      </c>
    </row>
    <row r="43" spans="1:15" x14ac:dyDescent="0.25">
      <c r="A43">
        <v>14347</v>
      </c>
      <c r="B43" t="s">
        <v>85</v>
      </c>
      <c r="C43" t="s">
        <v>27</v>
      </c>
      <c r="D43" t="s">
        <v>22</v>
      </c>
      <c r="E43" s="1">
        <v>40000</v>
      </c>
      <c r="F43">
        <v>2</v>
      </c>
      <c r="G43" t="s">
        <v>16</v>
      </c>
      <c r="H43" t="s">
        <v>33</v>
      </c>
      <c r="I43" t="s">
        <v>18</v>
      </c>
      <c r="J43">
        <v>2</v>
      </c>
      <c r="K43" t="s">
        <v>28</v>
      </c>
      <c r="L43" t="s">
        <v>29</v>
      </c>
      <c r="M43">
        <v>65</v>
      </c>
      <c r="N43" t="str">
        <f t="shared" si="0"/>
        <v>Old</v>
      </c>
      <c r="O43" t="s">
        <v>18</v>
      </c>
    </row>
    <row r="44" spans="1:15" x14ac:dyDescent="0.25">
      <c r="A44">
        <v>17703</v>
      </c>
      <c r="B44" t="s">
        <v>86</v>
      </c>
      <c r="C44" t="s">
        <v>14</v>
      </c>
      <c r="D44" t="s">
        <v>22</v>
      </c>
      <c r="E44" s="1">
        <v>10000</v>
      </c>
      <c r="F44">
        <v>1</v>
      </c>
      <c r="G44" t="s">
        <v>36</v>
      </c>
      <c r="H44" t="s">
        <v>30</v>
      </c>
      <c r="I44" t="s">
        <v>18</v>
      </c>
      <c r="J44">
        <v>0</v>
      </c>
      <c r="K44" t="s">
        <v>19</v>
      </c>
      <c r="L44" t="s">
        <v>20</v>
      </c>
      <c r="M44">
        <v>40</v>
      </c>
      <c r="N44" t="str">
        <f t="shared" si="0"/>
        <v>Middle Age</v>
      </c>
      <c r="O44" t="s">
        <v>21</v>
      </c>
    </row>
    <row r="45" spans="1:15" x14ac:dyDescent="0.25">
      <c r="A45">
        <v>17185</v>
      </c>
      <c r="B45" t="s">
        <v>87</v>
      </c>
      <c r="C45" t="s">
        <v>14</v>
      </c>
      <c r="D45" t="s">
        <v>22</v>
      </c>
      <c r="E45" s="1">
        <v>170000</v>
      </c>
      <c r="F45">
        <v>4</v>
      </c>
      <c r="G45" t="s">
        <v>23</v>
      </c>
      <c r="H45" t="s">
        <v>25</v>
      </c>
      <c r="I45" t="s">
        <v>21</v>
      </c>
      <c r="J45">
        <v>3</v>
      </c>
      <c r="K45" t="s">
        <v>28</v>
      </c>
      <c r="L45" t="s">
        <v>20</v>
      </c>
      <c r="M45">
        <v>48</v>
      </c>
      <c r="N45" t="str">
        <f t="shared" si="0"/>
        <v>Middle Age</v>
      </c>
      <c r="O45" t="s">
        <v>18</v>
      </c>
    </row>
    <row r="46" spans="1:15" x14ac:dyDescent="0.25">
      <c r="A46">
        <v>29380</v>
      </c>
      <c r="B46" t="s">
        <v>88</v>
      </c>
      <c r="C46" t="s">
        <v>14</v>
      </c>
      <c r="D46" t="s">
        <v>22</v>
      </c>
      <c r="E46" s="1">
        <v>20000</v>
      </c>
      <c r="F46">
        <v>3</v>
      </c>
      <c r="G46" t="s">
        <v>32</v>
      </c>
      <c r="H46" t="s">
        <v>30</v>
      </c>
      <c r="I46" t="s">
        <v>18</v>
      </c>
      <c r="J46">
        <v>0</v>
      </c>
      <c r="K46" t="s">
        <v>19</v>
      </c>
      <c r="L46" t="s">
        <v>20</v>
      </c>
      <c r="M46">
        <v>41</v>
      </c>
      <c r="N46" t="str">
        <f t="shared" si="0"/>
        <v>Middle Age</v>
      </c>
      <c r="O46" t="s">
        <v>18</v>
      </c>
    </row>
    <row r="47" spans="1:15" x14ac:dyDescent="0.25">
      <c r="A47">
        <v>23986</v>
      </c>
      <c r="B47" t="s">
        <v>89</v>
      </c>
      <c r="C47" t="s">
        <v>14</v>
      </c>
      <c r="D47" t="s">
        <v>22</v>
      </c>
      <c r="E47" s="1">
        <v>20000</v>
      </c>
      <c r="F47">
        <v>1</v>
      </c>
      <c r="G47" t="s">
        <v>16</v>
      </c>
      <c r="H47" t="s">
        <v>24</v>
      </c>
      <c r="I47" t="s">
        <v>18</v>
      </c>
      <c r="J47">
        <v>0</v>
      </c>
      <c r="K47" t="s">
        <v>19</v>
      </c>
      <c r="L47" t="s">
        <v>20</v>
      </c>
      <c r="M47">
        <v>66</v>
      </c>
      <c r="N47" t="str">
        <f t="shared" si="0"/>
        <v>Old</v>
      </c>
      <c r="O47" t="s">
        <v>18</v>
      </c>
    </row>
    <row r="48" spans="1:15" x14ac:dyDescent="0.25">
      <c r="A48">
        <v>24466</v>
      </c>
      <c r="B48" t="s">
        <v>90</v>
      </c>
      <c r="C48" t="s">
        <v>14</v>
      </c>
      <c r="D48" t="s">
        <v>22</v>
      </c>
      <c r="E48" s="1">
        <v>60000</v>
      </c>
      <c r="F48">
        <v>1</v>
      </c>
      <c r="G48" t="s">
        <v>23</v>
      </c>
      <c r="H48" t="s">
        <v>17</v>
      </c>
      <c r="I48" t="s">
        <v>18</v>
      </c>
      <c r="J48">
        <v>1</v>
      </c>
      <c r="K48" t="s">
        <v>28</v>
      </c>
      <c r="L48" t="s">
        <v>29</v>
      </c>
      <c r="M48">
        <v>46</v>
      </c>
      <c r="N48" t="str">
        <f t="shared" si="0"/>
        <v>Middle Age</v>
      </c>
      <c r="O48" t="s">
        <v>18</v>
      </c>
    </row>
    <row r="49" spans="1:15" x14ac:dyDescent="0.25">
      <c r="A49">
        <v>29097</v>
      </c>
      <c r="B49" t="s">
        <v>91</v>
      </c>
      <c r="C49" t="s">
        <v>27</v>
      </c>
      <c r="D49" t="s">
        <v>22</v>
      </c>
      <c r="E49" s="1">
        <v>40000</v>
      </c>
      <c r="F49">
        <v>2</v>
      </c>
      <c r="G49" t="s">
        <v>23</v>
      </c>
      <c r="H49" t="s">
        <v>17</v>
      </c>
      <c r="I49" t="s">
        <v>18</v>
      </c>
      <c r="J49">
        <v>2</v>
      </c>
      <c r="K49" t="s">
        <v>28</v>
      </c>
      <c r="L49" t="s">
        <v>29</v>
      </c>
      <c r="M49">
        <v>52</v>
      </c>
      <c r="N49" t="str">
        <f t="shared" si="0"/>
        <v>Middle Age</v>
      </c>
      <c r="O49" t="s">
        <v>18</v>
      </c>
    </row>
    <row r="50" spans="1:15" x14ac:dyDescent="0.25">
      <c r="A50">
        <v>19487</v>
      </c>
      <c r="B50" t="s">
        <v>92</v>
      </c>
      <c r="C50" t="s">
        <v>14</v>
      </c>
      <c r="D50" t="s">
        <v>22</v>
      </c>
      <c r="E50" s="1">
        <v>30000</v>
      </c>
      <c r="F50">
        <v>2</v>
      </c>
      <c r="G50" t="s">
        <v>23</v>
      </c>
      <c r="H50" t="s">
        <v>24</v>
      </c>
      <c r="I50" t="s">
        <v>21</v>
      </c>
      <c r="J50">
        <v>2</v>
      </c>
      <c r="K50" t="s">
        <v>19</v>
      </c>
      <c r="L50" t="s">
        <v>20</v>
      </c>
      <c r="M50">
        <v>42</v>
      </c>
      <c r="N50" t="str">
        <f t="shared" si="0"/>
        <v>Middle Age</v>
      </c>
      <c r="O50" t="s">
        <v>21</v>
      </c>
    </row>
    <row r="51" spans="1:15" x14ac:dyDescent="0.25">
      <c r="E51" s="1"/>
    </row>
    <row r="52" spans="1:15" x14ac:dyDescent="0.25">
      <c r="E52" s="1"/>
    </row>
    <row r="53" spans="1:15" x14ac:dyDescent="0.25">
      <c r="E53" s="1"/>
    </row>
    <row r="54" spans="1:15" x14ac:dyDescent="0.25">
      <c r="E54" s="1"/>
    </row>
    <row r="55" spans="1:15" x14ac:dyDescent="0.25">
      <c r="E55" s="1"/>
      <c r="I55" s="3" t="s">
        <v>37</v>
      </c>
      <c r="J55" t="s">
        <v>39</v>
      </c>
    </row>
    <row r="56" spans="1:15" x14ac:dyDescent="0.25">
      <c r="E56" s="1"/>
      <c r="I56" s="4" t="s">
        <v>15</v>
      </c>
      <c r="J56" s="2">
        <v>80000</v>
      </c>
    </row>
    <row r="57" spans="1:15" x14ac:dyDescent="0.25">
      <c r="E57" s="1"/>
      <c r="I57" s="4" t="s">
        <v>22</v>
      </c>
      <c r="J57" s="2">
        <v>80000</v>
      </c>
    </row>
    <row r="58" spans="1:15" x14ac:dyDescent="0.25">
      <c r="E58" s="1"/>
      <c r="I58" s="4" t="s">
        <v>38</v>
      </c>
      <c r="J58" s="2">
        <v>160000</v>
      </c>
    </row>
    <row r="59" spans="1:15" x14ac:dyDescent="0.25">
      <c r="E59" s="1"/>
    </row>
    <row r="60" spans="1:15" x14ac:dyDescent="0.25">
      <c r="E60" s="1"/>
    </row>
    <row r="61" spans="1:15" x14ac:dyDescent="0.25">
      <c r="E61" s="1"/>
    </row>
    <row r="62" spans="1:15" x14ac:dyDescent="0.25">
      <c r="E62" s="1"/>
    </row>
    <row r="63" spans="1:15" x14ac:dyDescent="0.25">
      <c r="E63" s="1"/>
    </row>
    <row r="64" spans="1:15" x14ac:dyDescent="0.25">
      <c r="E64" s="1"/>
    </row>
    <row r="65" spans="5:5" x14ac:dyDescent="0.25">
      <c r="E65" s="1"/>
    </row>
    <row r="66" spans="5:5" x14ac:dyDescent="0.25">
      <c r="E66" s="1"/>
    </row>
    <row r="67" spans="5:5" x14ac:dyDescent="0.25">
      <c r="E67" s="1"/>
    </row>
    <row r="68" spans="5:5" x14ac:dyDescent="0.25">
      <c r="E68" s="1"/>
    </row>
    <row r="69" spans="5:5" x14ac:dyDescent="0.25">
      <c r="E69" s="1"/>
    </row>
    <row r="70" spans="5:5" x14ac:dyDescent="0.25">
      <c r="E70" s="1"/>
    </row>
    <row r="71" spans="5:5" x14ac:dyDescent="0.25">
      <c r="E71" s="1"/>
    </row>
    <row r="72" spans="5:5" x14ac:dyDescent="0.25">
      <c r="E72" s="1"/>
    </row>
    <row r="73" spans="5:5" x14ac:dyDescent="0.25">
      <c r="E73" s="1"/>
    </row>
    <row r="74" spans="5:5" x14ac:dyDescent="0.25">
      <c r="E74" s="1"/>
    </row>
    <row r="75" spans="5:5" x14ac:dyDescent="0.25">
      <c r="E75" s="1"/>
    </row>
    <row r="76" spans="5:5" x14ac:dyDescent="0.25">
      <c r="E76" s="1"/>
    </row>
    <row r="77" spans="5:5" x14ac:dyDescent="0.25">
      <c r="E77" s="1"/>
    </row>
    <row r="78" spans="5:5" x14ac:dyDescent="0.25">
      <c r="E78" s="1"/>
    </row>
    <row r="79" spans="5:5" x14ac:dyDescent="0.25">
      <c r="E79" s="1"/>
    </row>
    <row r="80" spans="5:5" x14ac:dyDescent="0.25">
      <c r="E80" s="1"/>
    </row>
    <row r="81" spans="5:10" x14ac:dyDescent="0.25">
      <c r="E81" s="1"/>
    </row>
    <row r="82" spans="5:10" x14ac:dyDescent="0.25">
      <c r="E82" s="1"/>
    </row>
    <row r="83" spans="5:10" x14ac:dyDescent="0.25">
      <c r="E83" s="1"/>
    </row>
    <row r="84" spans="5:10" x14ac:dyDescent="0.25">
      <c r="E84" s="1"/>
    </row>
    <row r="85" spans="5:10" x14ac:dyDescent="0.25">
      <c r="E85" s="1"/>
    </row>
    <row r="86" spans="5:10" x14ac:dyDescent="0.25">
      <c r="E86" s="1"/>
    </row>
    <row r="87" spans="5:10" x14ac:dyDescent="0.25">
      <c r="E87" s="1"/>
    </row>
    <row r="88" spans="5:10" x14ac:dyDescent="0.25">
      <c r="E88" s="1"/>
    </row>
    <row r="89" spans="5:10" x14ac:dyDescent="0.25">
      <c r="E89" s="1"/>
    </row>
    <row r="90" spans="5:10" x14ac:dyDescent="0.25">
      <c r="E90" s="1"/>
    </row>
    <row r="91" spans="5:10" x14ac:dyDescent="0.25">
      <c r="E91" s="1"/>
    </row>
    <row r="92" spans="5:10" x14ac:dyDescent="0.25">
      <c r="E92" s="1"/>
    </row>
    <row r="93" spans="5:10" x14ac:dyDescent="0.25">
      <c r="E93" s="1"/>
      <c r="I93" s="3" t="s">
        <v>37</v>
      </c>
      <c r="J93" t="s">
        <v>43</v>
      </c>
    </row>
    <row r="94" spans="5:10" x14ac:dyDescent="0.25">
      <c r="E94" s="1"/>
      <c r="I94" s="4" t="s">
        <v>38</v>
      </c>
      <c r="J94" s="2"/>
    </row>
    <row r="95" spans="5:10" x14ac:dyDescent="0.25">
      <c r="E95" s="1"/>
    </row>
    <row r="96" spans="5:10" x14ac:dyDescent="0.25">
      <c r="E96" s="1"/>
    </row>
    <row r="97" spans="2:5" x14ac:dyDescent="0.25">
      <c r="E97" s="1"/>
    </row>
    <row r="98" spans="2:5" x14ac:dyDescent="0.25">
      <c r="E98" s="1"/>
    </row>
    <row r="99" spans="2:5" x14ac:dyDescent="0.25">
      <c r="E99" s="1"/>
    </row>
    <row r="100" spans="2:5" x14ac:dyDescent="0.25">
      <c r="E100" s="1"/>
    </row>
    <row r="101" spans="2:5" x14ac:dyDescent="0.25">
      <c r="E101" s="1"/>
    </row>
    <row r="102" spans="2:5" x14ac:dyDescent="0.25">
      <c r="B102" t="s">
        <v>42</v>
      </c>
    </row>
    <row r="134" spans="10:11" x14ac:dyDescent="0.25">
      <c r="J134" s="3" t="s">
        <v>37</v>
      </c>
      <c r="K134" t="s">
        <v>93</v>
      </c>
    </row>
    <row r="135" spans="10:11" x14ac:dyDescent="0.25">
      <c r="J135" s="4" t="s">
        <v>14</v>
      </c>
      <c r="K135" s="2">
        <v>22</v>
      </c>
    </row>
    <row r="136" spans="10:11" x14ac:dyDescent="0.25">
      <c r="J136" s="5" t="s">
        <v>19</v>
      </c>
      <c r="K136" s="2">
        <v>6</v>
      </c>
    </row>
    <row r="137" spans="10:11" x14ac:dyDescent="0.25">
      <c r="J137" s="6" t="s">
        <v>21</v>
      </c>
      <c r="K137" s="2">
        <v>3</v>
      </c>
    </row>
    <row r="138" spans="10:11" x14ac:dyDescent="0.25">
      <c r="J138" s="6" t="s">
        <v>18</v>
      </c>
      <c r="K138" s="2">
        <v>3</v>
      </c>
    </row>
    <row r="139" spans="10:11" x14ac:dyDescent="0.25">
      <c r="J139" s="5" t="s">
        <v>31</v>
      </c>
      <c r="K139" s="2">
        <v>3</v>
      </c>
    </row>
    <row r="140" spans="10:11" x14ac:dyDescent="0.25">
      <c r="J140" s="6" t="s">
        <v>21</v>
      </c>
      <c r="K140" s="2">
        <v>0</v>
      </c>
    </row>
    <row r="141" spans="10:11" x14ac:dyDescent="0.25">
      <c r="J141" s="6" t="s">
        <v>18</v>
      </c>
      <c r="K141" s="2">
        <v>3</v>
      </c>
    </row>
    <row r="142" spans="10:11" x14ac:dyDescent="0.25">
      <c r="J142" s="5" t="s">
        <v>26</v>
      </c>
      <c r="K142" s="2">
        <v>2</v>
      </c>
    </row>
    <row r="143" spans="10:11" x14ac:dyDescent="0.25">
      <c r="J143" s="6" t="s">
        <v>21</v>
      </c>
      <c r="K143" s="2">
        <v>2</v>
      </c>
    </row>
    <row r="144" spans="10:11" x14ac:dyDescent="0.25">
      <c r="J144" s="5" t="s">
        <v>28</v>
      </c>
      <c r="K144" s="2">
        <v>11</v>
      </c>
    </row>
    <row r="145" spans="10:11" x14ac:dyDescent="0.25">
      <c r="J145" s="6" t="s">
        <v>21</v>
      </c>
      <c r="K145" s="2">
        <v>7</v>
      </c>
    </row>
    <row r="146" spans="10:11" x14ac:dyDescent="0.25">
      <c r="J146" s="6" t="s">
        <v>18</v>
      </c>
      <c r="K146" s="2">
        <v>4</v>
      </c>
    </row>
    <row r="147" spans="10:11" x14ac:dyDescent="0.25">
      <c r="J147" s="4" t="s">
        <v>27</v>
      </c>
      <c r="K147" s="2">
        <v>40</v>
      </c>
    </row>
    <row r="148" spans="10:11" x14ac:dyDescent="0.25">
      <c r="J148" s="5" t="s">
        <v>19</v>
      </c>
      <c r="K148" s="2">
        <v>14</v>
      </c>
    </row>
    <row r="149" spans="10:11" x14ac:dyDescent="0.25">
      <c r="J149" s="6" t="s">
        <v>21</v>
      </c>
      <c r="K149" s="2">
        <v>3</v>
      </c>
    </row>
    <row r="150" spans="10:11" x14ac:dyDescent="0.25">
      <c r="J150" s="6" t="s">
        <v>18</v>
      </c>
      <c r="K150" s="2">
        <v>11</v>
      </c>
    </row>
    <row r="151" spans="10:11" x14ac:dyDescent="0.25">
      <c r="J151" s="5" t="s">
        <v>31</v>
      </c>
      <c r="K151" s="2">
        <v>5</v>
      </c>
    </row>
    <row r="152" spans="10:11" x14ac:dyDescent="0.25">
      <c r="J152" s="6" t="s">
        <v>18</v>
      </c>
      <c r="K152" s="2">
        <v>5</v>
      </c>
    </row>
    <row r="153" spans="10:11" x14ac:dyDescent="0.25">
      <c r="J153" s="5" t="s">
        <v>26</v>
      </c>
      <c r="K153" s="2">
        <v>4</v>
      </c>
    </row>
    <row r="154" spans="10:11" x14ac:dyDescent="0.25">
      <c r="J154" s="6" t="s">
        <v>21</v>
      </c>
      <c r="K154" s="2">
        <v>2</v>
      </c>
    </row>
    <row r="155" spans="10:11" x14ac:dyDescent="0.25">
      <c r="J155" s="6" t="s">
        <v>18</v>
      </c>
      <c r="K155" s="2">
        <v>2</v>
      </c>
    </row>
    <row r="156" spans="10:11" x14ac:dyDescent="0.25">
      <c r="J156" s="5" t="s">
        <v>28</v>
      </c>
      <c r="K156" s="2">
        <v>9</v>
      </c>
    </row>
    <row r="157" spans="10:11" x14ac:dyDescent="0.25">
      <c r="J157" s="6" t="s">
        <v>21</v>
      </c>
      <c r="K157" s="2">
        <v>2</v>
      </c>
    </row>
    <row r="158" spans="10:11" x14ac:dyDescent="0.25">
      <c r="J158" s="6" t="s">
        <v>18</v>
      </c>
      <c r="K158" s="2">
        <v>7</v>
      </c>
    </row>
    <row r="159" spans="10:11" x14ac:dyDescent="0.25">
      <c r="J159" s="5" t="s">
        <v>35</v>
      </c>
      <c r="K159" s="2">
        <v>8</v>
      </c>
    </row>
    <row r="160" spans="10:11" x14ac:dyDescent="0.25">
      <c r="J160" s="6" t="s">
        <v>21</v>
      </c>
      <c r="K160" s="2">
        <v>8</v>
      </c>
    </row>
    <row r="161" spans="9:11" x14ac:dyDescent="0.25">
      <c r="J161" s="4" t="s">
        <v>38</v>
      </c>
      <c r="K161" s="2">
        <v>62</v>
      </c>
    </row>
    <row r="168" spans="9:11" x14ac:dyDescent="0.25">
      <c r="I168" s="3" t="s">
        <v>37</v>
      </c>
      <c r="J168" t="s">
        <v>40</v>
      </c>
    </row>
    <row r="169" spans="9:11" x14ac:dyDescent="0.25">
      <c r="I169" s="4" t="s">
        <v>16</v>
      </c>
      <c r="J169" s="2">
        <v>7</v>
      </c>
    </row>
    <row r="170" spans="9:11" x14ac:dyDescent="0.25">
      <c r="I170" s="4" t="s">
        <v>36</v>
      </c>
      <c r="J170" s="2">
        <v>1</v>
      </c>
    </row>
    <row r="171" spans="9:11" x14ac:dyDescent="0.25">
      <c r="I171" s="4" t="s">
        <v>32</v>
      </c>
      <c r="J171" s="2">
        <v>17</v>
      </c>
    </row>
    <row r="172" spans="9:11" x14ac:dyDescent="0.25">
      <c r="I172" s="4" t="s">
        <v>23</v>
      </c>
      <c r="J172" s="2">
        <v>54</v>
      </c>
    </row>
    <row r="173" spans="9:11" x14ac:dyDescent="0.25">
      <c r="I173" s="4" t="s">
        <v>34</v>
      </c>
      <c r="J173" s="2">
        <v>13</v>
      </c>
    </row>
    <row r="174" spans="9:11" x14ac:dyDescent="0.25">
      <c r="I174" s="4" t="s">
        <v>38</v>
      </c>
      <c r="J174" s="2">
        <v>92</v>
      </c>
    </row>
    <row r="193" spans="8:9" x14ac:dyDescent="0.25">
      <c r="H193" s="3" t="s">
        <v>37</v>
      </c>
      <c r="I193" t="s">
        <v>39</v>
      </c>
    </row>
    <row r="194" spans="8:9" x14ac:dyDescent="0.25">
      <c r="H194" s="4" t="s">
        <v>24</v>
      </c>
      <c r="I194" s="2">
        <v>530000</v>
      </c>
    </row>
    <row r="195" spans="8:9" x14ac:dyDescent="0.25">
      <c r="H195" s="5" t="s">
        <v>21</v>
      </c>
      <c r="I195" s="2">
        <v>240000</v>
      </c>
    </row>
    <row r="196" spans="8:9" x14ac:dyDescent="0.25">
      <c r="H196" s="5" t="s">
        <v>18</v>
      </c>
      <c r="I196" s="2">
        <v>290000</v>
      </c>
    </row>
    <row r="197" spans="8:9" x14ac:dyDescent="0.25">
      <c r="H197" s="4" t="s">
        <v>33</v>
      </c>
      <c r="I197" s="2">
        <v>280000</v>
      </c>
    </row>
    <row r="198" spans="8:9" x14ac:dyDescent="0.25">
      <c r="H198" s="5" t="s">
        <v>21</v>
      </c>
      <c r="I198" s="2">
        <v>80000</v>
      </c>
    </row>
    <row r="199" spans="8:9" x14ac:dyDescent="0.25">
      <c r="H199" s="5" t="s">
        <v>18</v>
      </c>
      <c r="I199" s="2">
        <v>200000</v>
      </c>
    </row>
    <row r="200" spans="8:9" x14ac:dyDescent="0.25">
      <c r="H200" s="4" t="s">
        <v>30</v>
      </c>
      <c r="I200" s="2">
        <v>290000</v>
      </c>
    </row>
    <row r="201" spans="8:9" x14ac:dyDescent="0.25">
      <c r="H201" s="5" t="s">
        <v>21</v>
      </c>
      <c r="I201" s="2">
        <v>90000</v>
      </c>
    </row>
    <row r="202" spans="8:9" x14ac:dyDescent="0.25">
      <c r="H202" s="5" t="s">
        <v>18</v>
      </c>
      <c r="I202" s="2">
        <v>200000</v>
      </c>
    </row>
    <row r="203" spans="8:9" x14ac:dyDescent="0.25">
      <c r="H203" s="4" t="s">
        <v>25</v>
      </c>
      <c r="I203" s="2">
        <v>850000</v>
      </c>
    </row>
    <row r="204" spans="8:9" x14ac:dyDescent="0.25">
      <c r="H204" s="5" t="s">
        <v>21</v>
      </c>
      <c r="I204" s="2">
        <v>520000</v>
      </c>
    </row>
    <row r="205" spans="8:9" x14ac:dyDescent="0.25">
      <c r="H205" s="5" t="s">
        <v>18</v>
      </c>
      <c r="I205" s="2">
        <v>330000</v>
      </c>
    </row>
    <row r="206" spans="8:9" x14ac:dyDescent="0.25">
      <c r="H206" s="4" t="s">
        <v>17</v>
      </c>
      <c r="I206" s="2">
        <v>420000</v>
      </c>
    </row>
    <row r="207" spans="8:9" x14ac:dyDescent="0.25">
      <c r="H207" s="5" t="s">
        <v>21</v>
      </c>
      <c r="I207" s="2">
        <v>110000</v>
      </c>
    </row>
    <row r="208" spans="8:9" x14ac:dyDescent="0.25">
      <c r="H208" s="5" t="s">
        <v>18</v>
      </c>
      <c r="I208" s="2">
        <v>310000</v>
      </c>
    </row>
    <row r="209" spans="8:9" x14ac:dyDescent="0.25">
      <c r="H209" s="4" t="s">
        <v>38</v>
      </c>
      <c r="I209" s="2">
        <v>2370000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3C03-E7E8-428F-AABF-A82E68743756}">
  <dimension ref="A1"/>
  <sheetViews>
    <sheetView showGridLines="0" tabSelected="1" zoomScale="55" zoomScaleNormal="55" workbookViewId="0">
      <selection activeCell="R21" sqref="R2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2026-03-29T06:34:32Z</dcterms:created>
  <dcterms:modified xsi:type="dcterms:W3CDTF">2026-04-27T12:32:27Z</dcterms:modified>
</cp:coreProperties>
</file>